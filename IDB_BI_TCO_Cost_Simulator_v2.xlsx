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License Calculator" sheetId="3" state="visible" r:id="rId5"/>
    <sheet name="Architecture Costs" sheetId="4" state="visible" r:id="rId6"/>
    <sheet name="TCO Comparison" sheetId="5" state="visible" r:id="rId7"/>
    <sheet name="Scenario Simulator" sheetId="6" state="visible" r:id="rId8"/>
    <sheet name="Cross-Cloud Premium" sheetId="7" state="visible" r:id="rId9"/>
    <sheet name="Sources" sheetId="8" state="visible" r:id="rId10"/>
    <sheet name="Change 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<sst xmlns="http://schemas.openxmlformats.org/spreadsheetml/2006/main" count="873" uniqueCount="503">
  <si>
    <t xml:space="preserve">IDB BI Cost Comparator - Executive Dashboard (all 20 configurations)</t>
  </si>
  <si>
    <t xml:space="preserve">Planning case</t>
  </si>
  <si>
    <t xml:space="preserve">Value</t>
  </si>
  <si>
    <t xml:space="preserve">Cloud</t>
  </si>
  <si>
    <t xml:space="preserve">Configuration</t>
  </si>
  <si>
    <t xml:space="preserve">Licence model</t>
  </si>
  <si>
    <t xml:space="preserve">5-year TCO</t>
  </si>
  <si>
    <t xml:space="preserve">Avg annual TCO</t>
  </si>
  <si>
    <t xml:space="preserve">Rank</t>
  </si>
  <si>
    <t xml:space="preserve">Rank in cloud</t>
  </si>
  <si>
    <t xml:space="preserve">Decision note</t>
  </si>
  <si>
    <t xml:space="preserve">Chart label</t>
  </si>
  <si>
    <t xml:space="preserve">Consumers</t>
  </si>
  <si>
    <t xml:space="preserve">AWS</t>
  </si>
  <si>
    <t xml:space="preserve">Power BI + Snowflake AWS</t>
  </si>
  <si>
    <t xml:space="preserve">Pro - all named</t>
  </si>
  <si>
    <t xml:space="preserve">Cross-cloud; all named users</t>
  </si>
  <si>
    <t xml:space="preserve">Developers + explorers</t>
  </si>
  <si>
    <t xml:space="preserve">PPU - all named</t>
  </si>
  <si>
    <t xml:space="preserve">Feature-rich but costly at scale</t>
  </si>
  <si>
    <t xml:space="preserve">BI traffic (TB/month)</t>
  </si>
  <si>
    <t xml:space="preserve">Fabric F64 Reserved + Pro</t>
  </si>
  <si>
    <t xml:space="preserve">Recommended Power BI model; validate sizing</t>
  </si>
  <si>
    <t xml:space="preserve">Reports in scope</t>
  </si>
  <si>
    <t xml:space="preserve">Fabric F64 PAYG + Pro</t>
  </si>
  <si>
    <t xml:space="preserve">PAYG benchmark</t>
  </si>
  <si>
    <t xml:space="preserve">TCO horizon (years)</t>
  </si>
  <si>
    <t xml:space="preserve">Premium P1 + Pro</t>
  </si>
  <si>
    <t xml:space="preserve">Legacy reference only</t>
  </si>
  <si>
    <t xml:space="preserve">Snowflake credit rate</t>
  </si>
  <si>
    <t xml:space="preserve">Tableau Cloud + Snowflake AWS</t>
  </si>
  <si>
    <t xml:space="preserve">Standard role-based</t>
  </si>
  <si>
    <t xml:space="preserve">Same-cloud SaaS (Hyperforce on AWS)</t>
  </si>
  <si>
    <t xml:space="preserve">Tableau+ (AI tier)</t>
  </si>
  <si>
    <t xml:space="preserve">Quote-only; floor estimate</t>
  </si>
  <si>
    <t xml:space="preserve">Headline</t>
  </si>
  <si>
    <t xml:space="preserve">Tableau Server + Snowflake AWS</t>
  </si>
  <si>
    <t xml:space="preserve">Placement control; higher operations</t>
  </si>
  <si>
    <t xml:space="preserve">Lowest 5-yr TCO - AWS (excl. P1)</t>
  </si>
  <si>
    <t xml:space="preserve">QuickSight + Snowflake AWS</t>
  </si>
  <si>
    <t xml:space="preserve">Standard Author + Reader</t>
  </si>
  <si>
    <t xml:space="preserve">AWS-aligned economic baseline</t>
  </si>
  <si>
    <t xml:space="preserve">Lowest 5-yr TCO - Azure (excl. P1)</t>
  </si>
  <si>
    <t xml:space="preserve">Author Pro + Q (AI)</t>
  </si>
  <si>
    <t xml:space="preserve">Generative BI for authors</t>
  </si>
  <si>
    <t xml:space="preserve">Power BI cross-cloud premium / yr</t>
  </si>
  <si>
    <t xml:space="preserve">Azure</t>
  </si>
  <si>
    <t xml:space="preserve">Power BI + Snowflake Azure</t>
  </si>
  <si>
    <t xml:space="preserve">Same-cloud Power BI baseline</t>
  </si>
  <si>
    <t xml:space="preserve">Power BI cross-cloud premium / 5 yrs</t>
  </si>
  <si>
    <t xml:space="preserve">Same-cloud PPU</t>
  </si>
  <si>
    <t xml:space="preserve">Optimised PBI premium / yr</t>
  </si>
  <si>
    <t xml:space="preserve">Recommended Power BI model</t>
  </si>
  <si>
    <t xml:space="preserve">Tableau Cloud + Snowflake Azure</t>
  </si>
  <si>
    <t xml:space="preserve">Cross-cloud SaaS (AWS to Azure)</t>
  </si>
  <si>
    <t xml:space="preserve">Tableau Server + Snowflake Azure</t>
  </si>
  <si>
    <t xml:space="preserve">QuickSight + Snowflake Azure</t>
  </si>
  <si>
    <t xml:space="preserve">Cross-cloud QuickSight pattern</t>
  </si>
  <si>
    <t xml:space="preserve">Cross-cloud with Pro authors</t>
  </si>
  <si>
    <t xml:space="preserve">Decision guide</t>
  </si>
  <si>
    <t xml:space="preserve">Snowflake target</t>
  </si>
  <si>
    <t xml:space="preserve">Provisional lead</t>
  </si>
  <si>
    <t xml:space="preserve">Balanced alternative</t>
  </si>
  <si>
    <t xml:space="preserve">Strategic interpretation</t>
  </si>
  <si>
    <t xml:space="preserve">QuickSight</t>
  </si>
  <si>
    <t xml:space="preserve">Tableau</t>
  </si>
  <si>
    <t xml:space="preserve">Lowest TCO and native alignment; Power BI remains viable where semantic modelling, paginated reporting and M365 integration justify the cross-cloud premium.</t>
  </si>
  <si>
    <t xml:space="preserve">Power BI</t>
  </si>
  <si>
    <t xml:space="preserve">Same-cloud alignment strengthens Power BI; Fabric F64 Reserved is the lowest Azure TCO - validate capacity sizing rather than assuming F64.</t>
  </si>
  <si>
    <t xml:space="preserve">Unresolved / multi-cloud</t>
  </si>
  <si>
    <t xml:space="preserve">Defer standard</t>
  </si>
  <si>
    <t xml:space="preserve">Keep Phase 2 cloud-neutral until target cloud and FIS-to-Snowflake readiness are confirmed.</t>
  </si>
  <si>
    <t xml:space="preserve">IDB BI Cost Simulator v2 - Inputs and Assumptions</t>
  </si>
  <si>
    <t xml:space="preserve">Yellow cells with blue text are editable inputs. USD, excluding tax. Public list prices validated 23 Oct 2026; replace with IDB commercial quotes and measured PoV workloads before commitment.</t>
  </si>
  <si>
    <t xml:space="preserve">Workload assumptions (baseline = Large scenario)</t>
  </si>
  <si>
    <t xml:space="preserve">Input</t>
  </si>
  <si>
    <t xml:space="preserve">Unit</t>
  </si>
  <si>
    <t xml:space="preserve">Purpose</t>
  </si>
  <si>
    <t xml:space="preserve">Source / basis</t>
  </si>
  <si>
    <t xml:space="preserve">Notes</t>
  </si>
  <si>
    <t xml:space="preserve">users</t>
  </si>
  <si>
    <t xml:space="preserve">Named report consumers</t>
  </si>
  <si>
    <t xml:space="preserve">IDB planning assumption</t>
  </si>
  <si>
    <t xml:space="preserve">Shared with POV</t>
  </si>
  <si>
    <t xml:space="preserve">Developers / creators</t>
  </si>
  <si>
    <t xml:space="preserve">Report and semantic-model developers</t>
  </si>
  <si>
    <t xml:space="preserve">Explorers / analysts</t>
  </si>
  <si>
    <t xml:space="preserve">Web authors / self-service analysts</t>
  </si>
  <si>
    <t xml:space="preserve">Licensed as author-class users on every platform</t>
  </si>
  <si>
    <t xml:space="preserve">Peak concurrency</t>
  </si>
  <si>
    <t xml:space="preserve">Capacity sizing input</t>
  </si>
  <si>
    <t xml:space="preserve">Validate in proof of value</t>
  </si>
  <si>
    <t xml:space="preserve">Monthly BI result traffic</t>
  </si>
  <si>
    <t xml:space="preserve">TB/month</t>
  </si>
  <si>
    <t xml:space="preserve">Cross-cloud sensitivity</t>
  </si>
  <si>
    <t xml:space="preserve">Decimal TB: 1 TB = 1,000 GB</t>
  </si>
  <si>
    <t xml:space="preserve">Reports / dashboards</t>
  </si>
  <si>
    <t xml:space="preserve">count</t>
  </si>
  <si>
    <t xml:space="preserve">Migration model</t>
  </si>
  <si>
    <t xml:space="preserve">Working migration scope; current estate is ~280</t>
  </si>
  <si>
    <t xml:space="preserve">Years in TCO</t>
  </si>
  <si>
    <t xml:space="preserve">years</t>
  </si>
  <si>
    <t xml:space="preserve">TCO horizon</t>
  </si>
  <si>
    <t xml:space="preserve">Planning assumption</t>
  </si>
  <si>
    <t xml:space="preserve">Annual inflation</t>
  </si>
  <si>
    <t xml:space="preserve">percent</t>
  </si>
  <si>
    <t xml:space="preserve">Recurring-cost escalation, years 2-N</t>
  </si>
  <si>
    <t xml:space="preserve">0% baseline</t>
  </si>
  <si>
    <t xml:space="preserve">Commercial assumptions - per user / per account (public list, billed annually)</t>
  </si>
  <si>
    <t xml:space="preserve">Product / licence</t>
  </si>
  <si>
    <t xml:space="preserve">Price</t>
  </si>
  <si>
    <t xml:space="preserve">Applied to</t>
  </si>
  <si>
    <t xml:space="preserve">Public source</t>
  </si>
  <si>
    <t xml:space="preserve">Validation status (23 Oct 2026)</t>
  </si>
  <si>
    <t xml:space="preserve">Power BI Pro</t>
  </si>
  <si>
    <t xml:space="preserve">$/user/month</t>
  </si>
  <si>
    <t xml:space="preserve">All users (Pro/PPU models); creators + explorers (capacity models)</t>
  </si>
  <si>
    <t xml:space="preserve">https://www.microsoft.com/en-us/power-platform/products/power-bi/pricing</t>
  </si>
  <si>
    <t xml:space="preserve">Verified - official list, paid yearly</t>
  </si>
  <si>
    <t xml:space="preserve">Power BI Premium Per User</t>
  </si>
  <si>
    <t xml:space="preserve">All users of PPU content</t>
  </si>
  <si>
    <t xml:space="preserve">Tableau Creator (Standard)</t>
  </si>
  <si>
    <t xml:space="preserve">https://www.tableau.com/pricing/cloud  |  /pricing/server</t>
  </si>
  <si>
    <t xml:space="preserve">Verified - same list price for Cloud and Server</t>
  </si>
  <si>
    <t xml:space="preserve">Tableau Explorer (Standard)</t>
  </si>
  <si>
    <t xml:space="preserve">Verified</t>
  </si>
  <si>
    <t xml:space="preserve">Tableau Viewer (Standard)</t>
  </si>
  <si>
    <t xml:space="preserve">Tableau+ Creator (planning)</t>
  </si>
  <si>
    <t xml:space="preserve">Tableau+ AI tier - creators</t>
  </si>
  <si>
    <t xml:space="preserve">Tableau+ is quote-only; Enterprise list ($115) used as price floor</t>
  </si>
  <si>
    <t xml:space="preserve">Tableau+ Explorer (planning)</t>
  </si>
  <si>
    <t xml:space="preserve">Tableau+ AI tier - explorers</t>
  </si>
  <si>
    <t xml:space="preserve">Quote-only; Enterprise list ($70) used as floor</t>
  </si>
  <si>
    <t xml:space="preserve">Tableau+ Viewer (planning)</t>
  </si>
  <si>
    <t xml:space="preserve">Tableau+ AI tier - viewers</t>
  </si>
  <si>
    <t xml:space="preserve">Quote-only; Enterprise list ($35) used as floor</t>
  </si>
  <si>
    <t xml:space="preserve">QuickSight Author</t>
  </si>
  <si>
    <t xml:space="preserve">Developers and explorers (Standard)</t>
  </si>
  <si>
    <t xml:space="preserve">https://aws.amazon.com/quick/quicksight/pricing/</t>
  </si>
  <si>
    <t xml:space="preserve">Verified - now 'Amazon Quick Sight' in Quick Suite</t>
  </si>
  <si>
    <t xml:space="preserve">QuickSight Author Pro</t>
  </si>
  <si>
    <t xml:space="preserve">Developers and explorers (AI tier)</t>
  </si>
  <si>
    <t xml:space="preserve">Verified - includes generative BI</t>
  </si>
  <si>
    <t xml:space="preserve">QuickSight Reader</t>
  </si>
  <si>
    <t xml:space="preserve">QuickSight Reader Pro</t>
  </si>
  <si>
    <t xml:space="preserve">Consumers - full Pro reference only</t>
  </si>
  <si>
    <t xml:space="preserve">QuickSight account infrastructure fee</t>
  </si>
  <si>
    <t xml:space="preserve">$/account/month</t>
  </si>
  <si>
    <t xml:space="preserve">Any Pro user or Q&amp;A topics enabled</t>
  </si>
  <si>
    <t xml:space="preserve">Capacity and platform rates</t>
  </si>
  <si>
    <t xml:space="preserve">Cost item</t>
  </si>
  <si>
    <t xml:space="preserve">Fabric F64 pay-as-you-go</t>
  </si>
  <si>
    <t xml:space="preserve">$/month</t>
  </si>
  <si>
    <t xml:space="preserve">Power BI capacity (PAYG)</t>
  </si>
  <si>
    <t xml:space="preserve">https://azure.microsoft.com/en-us/pricing/details/microsoft-fabric/</t>
  </si>
  <si>
    <t xml:space="preserve">Verified - US list ($0.18/CU-hr x 64 CU x 730 h)</t>
  </si>
  <si>
    <t xml:space="preserve">Fabric F64 1-year reservation</t>
  </si>
  <si>
    <t xml:space="preserve">Power BI capacity (reserved)</t>
  </si>
  <si>
    <t xml:space="preserve">Verified - ~40.5% saving vs PAYG</t>
  </si>
  <si>
    <t xml:space="preserve">Power BI Premium P1 (legacy)</t>
  </si>
  <si>
    <t xml:space="preserve">Power BI capacity (legacy)</t>
  </si>
  <si>
    <t xml:space="preserve">https://learn.microsoft.com/en-us/power-bi/support/premium-migration-overview</t>
  </si>
  <si>
    <t xml:space="preserve">No new P SKU sales; renewal only under an active EA</t>
  </si>
  <si>
    <t xml:space="preserve">$/credit</t>
  </si>
  <si>
    <t xml:space="preserve">Base BI Snowflake compute</t>
  </si>
  <si>
    <t xml:space="preserve">https://www.snowflake.com/pricing/pricing-guide</t>
  </si>
  <si>
    <t xml:space="preserve">Verified - Enterprise, AWS US East on-demand; Business Critical = $4</t>
  </si>
  <si>
    <t xml:space="preserve">Delivery and operating assumptions</t>
  </si>
  <si>
    <t xml:space="preserve">Basis</t>
  </si>
  <si>
    <t xml:space="preserve">Tableau Server infrastructure</t>
  </si>
  <si>
    <t xml:space="preserve">$/year</t>
  </si>
  <si>
    <t xml:space="preserve">Tableau Server</t>
  </si>
  <si>
    <t xml:space="preserve">Compute, HA, backup, monitoring</t>
  </si>
  <si>
    <t xml:space="preserve">AWS gateway cluster (Power BI)</t>
  </si>
  <si>
    <t xml:space="preserve">Power BI with Snowflake on AWS</t>
  </si>
  <si>
    <t xml:space="preserve">Two-node gateway on EC2; set to zero if not required</t>
  </si>
  <si>
    <t xml:space="preserve">Base platform operations - Power BI</t>
  </si>
  <si>
    <t xml:space="preserve">Admin, monitoring, release support</t>
  </si>
  <si>
    <t xml:space="preserve">Base platform operations - Tableau Cloud</t>
  </si>
  <si>
    <t xml:space="preserve">Tableau Cloud</t>
  </si>
  <si>
    <t xml:space="preserve">Admin, governance and support</t>
  </si>
  <si>
    <t xml:space="preserve">Base platform operations - Tableau Server</t>
  </si>
  <si>
    <t xml:space="preserve">Infrastructure and BI administration</t>
  </si>
  <si>
    <t xml:space="preserve">Base platform operations - QuickSight</t>
  </si>
  <si>
    <t xml:space="preserve">Migration cost per report - Power BI</t>
  </si>
  <si>
    <t xml:space="preserve">$/report</t>
  </si>
  <si>
    <t xml:space="preserve">Average blended effort</t>
  </si>
  <si>
    <t xml:space="preserve">Migration cost per report - Tableau</t>
  </si>
  <si>
    <t xml:space="preserve">Migration cost per report - QuickSight</t>
  </si>
  <si>
    <t xml:space="preserve">Training / enablement - Power BI</t>
  </si>
  <si>
    <t xml:space="preserve">$ one-time</t>
  </si>
  <si>
    <t xml:space="preserve">Year 1</t>
  </si>
  <si>
    <t xml:space="preserve">Training / enablement - Tableau</t>
  </si>
  <si>
    <t xml:space="preserve">Training / enablement - QuickSight</t>
  </si>
  <si>
    <t xml:space="preserve">Architecture and cross-cloud assumptions</t>
  </si>
  <si>
    <t xml:space="preserve">Cross-cloud transfer rate</t>
  </si>
  <si>
    <t xml:space="preserve">$/GB</t>
  </si>
  <si>
    <t xml:space="preserve">Conservative data-movement sensitivity</t>
  </si>
  <si>
    <t xml:space="preserve">https://www.snowflake.com/pricing/pricing-guide ($90/TB to other cloud)</t>
  </si>
  <si>
    <t xml:space="preserve">Snowflake does not bill egress for driver-retrieved query results; applies to gateway/NAT egress from AWS</t>
  </si>
  <si>
    <t xml:space="preserve">Private-path transfer rate</t>
  </si>
  <si>
    <t xml:space="preserve">Direct Connect / interconnect lever</t>
  </si>
  <si>
    <t xml:space="preserve">Excludes fixed circuit, port and provider charges</t>
  </si>
  <si>
    <t xml:space="preserve">Import / incremental-refresh transfer reduction</t>
  </si>
  <si>
    <t xml:space="preserve">Optimisation lever</t>
  </si>
  <si>
    <t xml:space="preserve">Validate with change rate and partitions</t>
  </si>
  <si>
    <t xml:space="preserve">Incremental compute reduction (aggregations, caching)</t>
  </si>
  <si>
    <t xml:space="preserve">Result cache, aggregations, warehouse auto-suspend</t>
  </si>
  <si>
    <t xml:space="preserve">Power BI incremental Snowflake compute (cross-cloud)</t>
  </si>
  <si>
    <t xml:space="preserve">AWS cross-cloud workload premium</t>
  </si>
  <si>
    <t xml:space="preserve">Expected-case assumption</t>
  </si>
  <si>
    <t xml:space="preserve">Scaled by consumers in Scenario Simulator</t>
  </si>
  <si>
    <t xml:space="preserve">Tableau Cloud cross-cloud factor - Snowflake on Azure</t>
  </si>
  <si>
    <t xml:space="preserve">factor</t>
  </si>
  <si>
    <t xml:space="preserve">Relative to Power BI premium</t>
  </si>
  <si>
    <t xml:space="preserve">Tableau Cloud runs on AWS (Salesforce Hyperforce)</t>
  </si>
  <si>
    <t xml:space="preserve">Tableau Cloud cross-cloud factor - Snowflake on AWS</t>
  </si>
  <si>
    <t xml:space="preserve">Tableau Cloud on Hyperforce on AWS</t>
  </si>
  <si>
    <t xml:space="preserve">0 = site in same AWS region as Snowflake; set 0.75 if not aligned</t>
  </si>
  <si>
    <t xml:space="preserve">QuickSight cross-cloud factor - Snowflake on Azure</t>
  </si>
  <si>
    <t xml:space="preserve">Azure-to-AWS relative premium</t>
  </si>
  <si>
    <t xml:space="preserve">Power BI additional cross-cloud operations</t>
  </si>
  <si>
    <t xml:space="preserve">Network, security and support</t>
  </si>
  <si>
    <t xml:space="preserve">Tableau Cloud additional cross-cloud operations</t>
  </si>
  <si>
    <t xml:space="preserve">Pod, network and support</t>
  </si>
  <si>
    <t xml:space="preserve">Applied only when the cross-cloud factor &gt; 0</t>
  </si>
  <si>
    <t xml:space="preserve">QuickSight additional cross-cloud operations</t>
  </si>
  <si>
    <t xml:space="preserve">Azure-to-AWS integration and support</t>
  </si>
  <si>
    <t xml:space="preserve">Snowflake credits/month - Power BI</t>
  </si>
  <si>
    <t xml:space="preserve">credits/month</t>
  </si>
  <si>
    <t xml:space="preserve">Base BI workload</t>
  </si>
  <si>
    <t xml:space="preserve">Snowflake credits/month - Tableau</t>
  </si>
  <si>
    <t xml:space="preserve">Snowflake credits/month - QuickSight</t>
  </si>
  <si>
    <t xml:space="preserve">SPICE caching reduces live queries</t>
  </si>
  <si>
    <t xml:space="preserve">Annual BI Licensing Calculator - baseline named users</t>
  </si>
  <si>
    <t xml:space="preserve">All formulas reference Inputs. Explorers/analysts are licensed as author-class users on every platform for a like-for-like comparison.</t>
  </si>
  <si>
    <t xml:space="preserve">Licensing model</t>
  </si>
  <si>
    <t xml:space="preserve">Developer / creator cost</t>
  </si>
  <si>
    <t xml:space="preserve">Explorer / analyst cost</t>
  </si>
  <si>
    <t xml:space="preserve">Consumer cost</t>
  </si>
  <si>
    <t xml:space="preserve">Capacity / account cost</t>
  </si>
  <si>
    <t xml:space="preserve">Annual licence total</t>
  </si>
  <si>
    <t xml:space="preserve">Who needs paid licences</t>
  </si>
  <si>
    <t xml:space="preserve">Power BI Pro - all named users</t>
  </si>
  <si>
    <t xml:space="preserve">Creators, explorers and consumers</t>
  </si>
  <si>
    <t xml:space="preserve">Shared capacity; no Copilot</t>
  </si>
  <si>
    <t xml:space="preserve">Power BI PPU - all named users</t>
  </si>
  <si>
    <t xml:space="preserve">Every PPU content user</t>
  </si>
  <si>
    <t xml:space="preserve">Premium features per user</t>
  </si>
  <si>
    <t xml:space="preserve">Fabric F64 Reserved + Pro authors</t>
  </si>
  <si>
    <t xml:space="preserve">Creators and explorers on Pro; viewers free at F64+</t>
  </si>
  <si>
    <t xml:space="preserve">Recommended Power BI model at 500 consumers; Copilot uses capacity</t>
  </si>
  <si>
    <t xml:space="preserve">Fabric F64 PAYG + Pro authors</t>
  </si>
  <si>
    <t xml:space="preserve">Flexible, ~68% dearer than reserved</t>
  </si>
  <si>
    <t xml:space="preserve">Premium P1 + Pro authors (legacy)</t>
  </si>
  <si>
    <t xml:space="preserve">Creators and explorers on Pro; viewers free at P1</t>
  </si>
  <si>
    <t xml:space="preserve">Legacy reference - no new P SKU purchases</t>
  </si>
  <si>
    <t xml:space="preserve">Tableau Standard role-based (Cloud or Server)</t>
  </si>
  <si>
    <t xml:space="preserve">Creator, Explorer and Viewer</t>
  </si>
  <si>
    <t xml:space="preserve">Same list price for Cloud and Server</t>
  </si>
  <si>
    <t xml:space="preserve">Tableau+ AI tier (planning floor)</t>
  </si>
  <si>
    <t xml:space="preserve">All roles upgraded</t>
  </si>
  <si>
    <t xml:space="preserve">Quote-only; Enterprise list used as floor</t>
  </si>
  <si>
    <t xml:space="preserve">QuickSight Standard - Author + Reader</t>
  </si>
  <si>
    <t xml:space="preserve">Developers and explorers as Authors; Readers</t>
  </si>
  <si>
    <t xml:space="preserve">Explorers licensed as Authors (like-for-like)</t>
  </si>
  <si>
    <t xml:space="preserve">QuickSight Author Pro + Reader (AI)</t>
  </si>
  <si>
    <t xml:space="preserve">Pro authors and explorers; standard Readers</t>
  </si>
  <si>
    <t xml:space="preserve">Generative BI for authors + $250/month account fee</t>
  </si>
  <si>
    <t xml:space="preserve">QuickSight full Pro - Author Pro + Reader Pro</t>
  </si>
  <si>
    <t xml:space="preserve">All users Pro</t>
  </si>
  <si>
    <t xml:space="preserve">Reference only - not in TCO</t>
  </si>
  <si>
    <t xml:space="preserve">Break-even checks</t>
  </si>
  <si>
    <t xml:space="preserve">Check</t>
  </si>
  <si>
    <t xml:space="preserve">Interpretation</t>
  </si>
  <si>
    <t xml:space="preserve">F64 Reserved vs Pro: consumer break-even</t>
  </si>
  <si>
    <t xml:space="preserve">consumers</t>
  </si>
  <si>
    <t xml:space="preserve">Above this many consumers, F64 Reserved + Pro authors is cheaper than Pro for all</t>
  </si>
  <si>
    <t xml:space="preserve">F64 PAYG vs Pro: consumer break-even</t>
  </si>
  <si>
    <t xml:space="preserve">PAYG capacity needs a much larger audience</t>
  </si>
  <si>
    <t xml:space="preserve">PPU vs F64 Reserved + Pro: total-user break-even</t>
  </si>
  <si>
    <t xml:space="preserve">named users</t>
  </si>
  <si>
    <t xml:space="preserve">Above this total, PPU for everyone costs more than F64 Reserved + Pro authors</t>
  </si>
  <si>
    <t xml:space="preserve">Tableau+ uplift vs Standard (baseline)</t>
  </si>
  <si>
    <t xml:space="preserve">AI tier premium at floor pricing</t>
  </si>
  <si>
    <t xml:space="preserve">QuickSight Author Pro uplift vs Standard (baseline)</t>
  </si>
  <si>
    <t xml:space="preserve">Includes $250/month account fee</t>
  </si>
  <si>
    <t xml:space="preserve">Annual Architecture and Operating Cost Derivation - baseline</t>
  </si>
  <si>
    <t xml:space="preserve">Transfer = TB/month x 1,000 x 12 x $/GB x factor. Base Snowflake compute = credits/month x 12 x credit rate.</t>
  </si>
  <si>
    <t xml:space="preserve">Cloud alignment</t>
  </si>
  <si>
    <t xml:space="preserve">Annual data transfer</t>
  </si>
  <si>
    <t xml:space="preserve">Incremental Snowflake compute</t>
  </si>
  <si>
    <t xml:space="preserve">Gateway / server infra</t>
  </si>
  <si>
    <t xml:space="preserve">Platform operations</t>
  </si>
  <si>
    <t xml:space="preserve">Base Snowflake compute</t>
  </si>
  <si>
    <t xml:space="preserve">Annual architecture &amp; ops</t>
  </si>
  <si>
    <t xml:space="preserve">Formula logic</t>
  </si>
  <si>
    <t xml:space="preserve">Comments</t>
  </si>
  <si>
    <t xml:space="preserve">Cross-cloud</t>
  </si>
  <si>
    <t xml:space="preserve">Power BI service (Azure) reads AWS-hosted Snowflake via EC2 gateway</t>
  </si>
  <si>
    <t xml:space="preserve">Validate actual billing path</t>
  </si>
  <si>
    <t xml:space="preserve">Same cloud</t>
  </si>
  <si>
    <t xml:space="preserve">Base operations + base Snowflake</t>
  </si>
  <si>
    <t xml:space="preserve">Align regions</t>
  </si>
  <si>
    <t xml:space="preserve">Same cloud (AWS)</t>
  </si>
  <si>
    <t xml:space="preserve">Tableau Cloud runs on Hyperforce on AWS</t>
  </si>
  <si>
    <t xml:space="preserve">Confirm site region = Snowflake region</t>
  </si>
  <si>
    <t xml:space="preserve">Scaled transfer and compute + operations</t>
  </si>
  <si>
    <t xml:space="preserve">AWS-hosted SaaS to Azure Snowflake</t>
  </si>
  <si>
    <t xml:space="preserve">Server infra + operations + base Snowflake</t>
  </si>
  <si>
    <t xml:space="preserve">Server placed on AWS</t>
  </si>
  <si>
    <t xml:space="preserve">Server placed on Azure</t>
  </si>
  <si>
    <t xml:space="preserve">Operations + base Snowflake</t>
  </si>
  <si>
    <t xml:space="preserve">AWS-native</t>
  </si>
  <si>
    <t xml:space="preserve">Azure-to-AWS pattern</t>
  </si>
  <si>
    <t xml:space="preserve">Five-Year Total Cost of Ownership - all 20 configurations (baseline 500 consumers / 25 developers / 25 explorers / 5 TB)</t>
  </si>
  <si>
    <t xml:space="preserve">Year 1 = recurring + one-time migration + training. Years 2-N = recurring with inflation. Rank 1 = lowest N-year TCO across all 20.</t>
  </si>
  <si>
    <t xml:space="preserve">Annual licensing</t>
  </si>
  <si>
    <t xml:space="preserve">Annual arch &amp; ops</t>
  </si>
  <si>
    <t xml:space="preserve">One-time migration</t>
  </si>
  <si>
    <t xml:space="preserve">One-time training</t>
  </si>
  <si>
    <t xml:space="preserve">Year 1 TCO</t>
  </si>
  <si>
    <t xml:space="preserve">Years 2-N recurring</t>
  </si>
  <si>
    <t xml:space="preserve">N-year TCO</t>
  </si>
  <si>
    <t xml:space="preserve">Average annual TCO</t>
  </si>
  <si>
    <t xml:space="preserve">Cost per consumer / year</t>
  </si>
  <si>
    <t xml:space="preserve">Snowflake on AWS</t>
  </si>
  <si>
    <t xml:space="preserve">Snowflake on Azure</t>
  </si>
  <si>
    <t xml:space="preserve">Key: gold = recommended Power BI licensing model; rose = AI-tier rows.</t>
  </si>
  <si>
    <t xml:space="preserve">Scenario Simulator - all 20 configurations x Small / Medium / Large</t>
  </si>
  <si>
    <t xml:space="preserve">Edit the blue scenario parameters. Large = Inputs baseline. Incremental cross-cloud compute is scaled by consumers / baseline consumers; operations, gateway and base Snowflake credits are held constant.</t>
  </si>
  <si>
    <t xml:space="preserve">Scenario parameter</t>
  </si>
  <si>
    <t xml:space="preserve">S1 Small</t>
  </si>
  <si>
    <t xml:space="preserve">S2 Medium</t>
  </si>
  <si>
    <t xml:space="preserve">S3 Large</t>
  </si>
  <si>
    <t xml:space="preserve">BI result traffic</t>
  </si>
  <si>
    <t xml:space="preserve">Reports in migration scope</t>
  </si>
  <si>
    <t xml:space="preserve">S3 Large links to Inputs (green) so it always reconciles to the TCO Comparison.</t>
  </si>
  <si>
    <t xml:space="preserve">S3 Large (baseline)</t>
  </si>
  <si>
    <t xml:space="preserve">Lowest 5-year TCO by scenario</t>
  </si>
  <si>
    <t xml:space="preserve">Result</t>
  </si>
  <si>
    <t xml:space="preserve">Lowest - Snowflake on AWS (excl. legacy P1)</t>
  </si>
  <si>
    <t xml:space="preserve">Lowest - Snowflake on Azure (excl. legacy P1)</t>
  </si>
  <si>
    <t xml:space="preserve">Lowest - all configurations (excl. legacy P1)</t>
  </si>
  <si>
    <t xml:space="preserve">All</t>
  </si>
  <si>
    <t xml:space="preserve">AI licensing uplift vs standard tier (annual)</t>
  </si>
  <si>
    <t xml:space="preserve">Platform</t>
  </si>
  <si>
    <t xml:space="preserve">AI tier</t>
  </si>
  <si>
    <t xml:space="preserve">Tableau+ vs Standard</t>
  </si>
  <si>
    <t xml:space="preserve">Author Pro + Q vs Standard</t>
  </si>
  <si>
    <t xml:space="preserve">Copilot on F64 Reserved</t>
  </si>
  <si>
    <t xml:space="preserve">No extra licence - consumes F64 capacity units</t>
  </si>
  <si>
    <t xml:space="preserve">Cross-Cloud Premium - Power BI with Snowflake on AWS vs Azure, Tableau and QuickSight comparison, and cost-reduction levers</t>
  </si>
  <si>
    <t xml:space="preserve">Premium = annual architecture &amp; ops in the cross-cloud placement minus the same-cloud placement. Licensing is identical in both placements, so the premium is the same for every Power BI licensing model.</t>
  </si>
  <si>
    <t xml:space="preserve">A. Annual cross-cloud premium by platform (baseline)</t>
  </si>
  <si>
    <t xml:space="preserve">Cross-cloud placement</t>
  </si>
  <si>
    <t xml:space="preserve">Transfer</t>
  </si>
  <si>
    <t xml:space="preserve">Incremental compute</t>
  </si>
  <si>
    <t xml:space="preserve">Gateway / infra</t>
  </si>
  <si>
    <t xml:space="preserve">Cross-cloud operations</t>
  </si>
  <si>
    <t xml:space="preserve">Annual premium</t>
  </si>
  <si>
    <t xml:space="preserve">Power BI service runs in Azure; AWS-hosted Snowflake is cross-cloud</t>
  </si>
  <si>
    <t xml:space="preserve">Tableau Cloud runs on AWS - the premium reverses: it appears when Snowflake is on Azure</t>
  </si>
  <si>
    <t xml:space="preserve">None (self-hosted)</t>
  </si>
  <si>
    <t xml:space="preserve">Host Tableau Server beside Snowflake - no premium, but higher infra/ops cost</t>
  </si>
  <si>
    <t xml:space="preserve">QuickSight is AWS-only; Azure-hosted Snowflake is cross-cloud</t>
  </si>
  <si>
    <t xml:space="preserve">B. Power BI cross-cloud premium in context (baseline)</t>
  </si>
  <si>
    <t xml:space="preserve">Measure</t>
  </si>
  <si>
    <t xml:space="preserve">Note</t>
  </si>
  <si>
    <t xml:space="preserve">Same for Pro, PPU, Fabric and P1 models</t>
  </si>
  <si>
    <t xml:space="preserve">Five-year premium</t>
  </si>
  <si>
    <t xml:space="preserve">0% inflation baseline</t>
  </si>
  <si>
    <t xml:space="preserve">Premium as % of 5-year TCO - Fabric F64 Reserved on AWS</t>
  </si>
  <si>
    <t xml:space="preserve">Premium as % of 5-year TCO - Pro on AWS</t>
  </si>
  <si>
    <t xml:space="preserve">Tableau Cloud premium if Snowflake is on Azure (annual)</t>
  </si>
  <si>
    <t xml:space="preserve">Not a Snowflake-on-AWS issue for Tableau Cloud</t>
  </si>
  <si>
    <t xml:space="preserve">QuickSight premium if Snowflake is on Azure (annual)</t>
  </si>
  <si>
    <t xml:space="preserve">C. Options to reduce the Power BI premium when Snowflake stays on AWS</t>
  </si>
  <si>
    <t xml:space="preserve">Lever</t>
  </si>
  <si>
    <t xml:space="preserve">Driver input</t>
  </si>
  <si>
    <t xml:space="preserve">Annual saving</t>
  </si>
  <si>
    <t xml:space="preserve">Residual premium</t>
  </si>
  <si>
    <t xml:space="preserve">How / caveat</t>
  </si>
  <si>
    <t xml:space="preserve">Baseline premium</t>
  </si>
  <si>
    <t xml:space="preserve">-</t>
  </si>
  <si>
    <t xml:space="preserve">Transfer + incremental compute + gateway + cross-cloud ops</t>
  </si>
  <si>
    <t xml:space="preserve">1. Import + incremental refresh + aggregations (not DirectQuery)</t>
  </si>
  <si>
    <t xml:space="preserve">Move only changed partitions; keep DirectQuery for few freshness-critical visuals</t>
  </si>
  <si>
    <t xml:space="preserve">2. Private path for residual traffic (Direct Connect / interconnect)</t>
  </si>
  <si>
    <t xml:space="preserve">Variable rate only; circuit/port fees excluded - worthwhile mainly at higher volumes</t>
  </si>
  <si>
    <t xml:space="preserve">3. Snowflake workload tuning (result cache, aggregates, auto-suspend, right-sized BI warehouse)</t>
  </si>
  <si>
    <t xml:space="preserve">Dedicated XS/S BI warehouse with 60s auto-suspend; materialised aggregates</t>
  </si>
  <si>
    <t xml:space="preserve">Optimised annual premium (levers 1-3)</t>
  </si>
  <si>
    <t xml:space="preserve">Residual = gateway + cross-cloud operations + remaining transfer/compute</t>
  </si>
  <si>
    <t xml:space="preserve">Optimised five-year premium</t>
  </si>
  <si>
    <t xml:space="preserve">vs unoptimised five-year premium in section B</t>
  </si>
  <si>
    <t xml:space="preserve">D. Further options (not modelled numerically)</t>
  </si>
  <si>
    <t xml:space="preserve">Option</t>
  </si>
  <si>
    <t xml:space="preserve">Effect on premium</t>
  </si>
  <si>
    <t xml:space="preserve">Trade-off</t>
  </si>
  <si>
    <t xml:space="preserve">Fabric F64 Reserved instead of Pro for all</t>
  </si>
  <si>
    <t xml:space="preserve">Licensing saving (not cross-cloud)</t>
  </si>
  <si>
    <t xml:space="preserve">Saves the licence difference shown in TCO Comparison; Copilot available; capacity must be sized</t>
  </si>
  <si>
    <t xml:space="preserve">Fabric Mirroring of curated Snowflake tables into OneLake</t>
  </si>
  <si>
    <t xml:space="preserve">Removes repeat dashboard queries</t>
  </si>
  <si>
    <t xml:space="preserve">Second governed copy; Fabric query capacity; RLS/CLS recreated; reseed risk</t>
  </si>
  <si>
    <t xml:space="preserve">Snowflake replica in Azure for BI-serving data only</t>
  </si>
  <si>
    <t xml:space="preserve">Same-cloud BI reads</t>
  </si>
  <si>
    <t xml:space="preserve">Replication egress + second account compute/storage; adds operational ownership</t>
  </si>
  <si>
    <t xml:space="preserve">Standardise on a same-cloud BI tool</t>
  </si>
  <si>
    <t xml:space="preserve">Eliminates premium</t>
  </si>
  <si>
    <t xml:space="preserve">QuickSight (AWS) or Tableau Cloud (AWS); trade-off vs Power BI semantic and M365 strengths</t>
  </si>
  <si>
    <t xml:space="preserve">Note: Snowflake does not charge data egress when a client/driver retrieves query results across clouds; the $/GB line represents AWS-side network egress (EC2 gateway/NAT) and is a conservative sensitivity - confirm with an AWS billing test in the PoV.</t>
  </si>
  <si>
    <t xml:space="preserve">Pricing Sources and Validation - checked 23 October 2026</t>
  </si>
  <si>
    <t xml:space="preserve">Vendor / topic</t>
  </si>
  <si>
    <t xml:space="preserve">Input used</t>
  </si>
  <si>
    <t xml:space="preserve">Public source URL</t>
  </si>
  <si>
    <t xml:space="preserve">Status</t>
  </si>
  <si>
    <t xml:space="preserve">Important caveat</t>
  </si>
  <si>
    <t xml:space="preserve">Microsoft Power BI</t>
  </si>
  <si>
    <t xml:space="preserve">$14 Pro; $24 PPU (per user/month, paid yearly)</t>
  </si>
  <si>
    <t xml:space="preserve">Country/contract pricing may differ; Pro required to publish to any P or F capacity</t>
  </si>
  <si>
    <t xml:space="preserve">Fabric capacity</t>
  </si>
  <si>
    <t xml:space="preserve">F64 PAYG $8,409.60/month; 1-yr reserved $5,002.67/month</t>
  </si>
  <si>
    <t xml:space="preserve">Verified (US)</t>
  </si>
  <si>
    <t xml:space="preserve">Official page quotes ~41% reservation saving; region pricing varies</t>
  </si>
  <si>
    <t xml:space="preserve">Power BI capacity viewing</t>
  </si>
  <si>
    <t xml:space="preserve">Free viewers only at F64+ / P1+</t>
  </si>
  <si>
    <t xml:space="preserve">https://learn.microsoft.com/en-us/power-bi/fundamentals/service-features-license-type</t>
  </si>
  <si>
    <t xml:space="preserve">Authors still require Pro</t>
  </si>
  <si>
    <t xml:space="preserve">Premium P1 (legacy)</t>
  </si>
  <si>
    <t xml:space="preserve">$4,995/month reference</t>
  </si>
  <si>
    <t xml:space="preserve">Microsoft no longer sells new P SKUs; renewals only under active EA</t>
  </si>
  <si>
    <t xml:space="preserve">Power BI Copilot</t>
  </si>
  <si>
    <t xml:space="preserve">Requires paid Fabric F2+ or P1+ (or Fabric Copilot capacity)</t>
  </si>
  <si>
    <t xml:space="preserve">https://learn.microsoft.com/en-us/power-bi/create-reports/copilot-enable-power-bi</t>
  </si>
  <si>
    <t xml:space="preserve">Not available on trial capacities; consumes capacity units</t>
  </si>
  <si>
    <t xml:space="preserve">Tableau Standard</t>
  </si>
  <si>
    <t xml:space="preserve">$75 Creator; $42 Explorer; $15 Viewer</t>
  </si>
  <si>
    <t xml:space="preserve">https://www.tableau.com/pricing/cloud ; https://www.tableau.com/pricing/server</t>
  </si>
  <si>
    <t xml:space="preserve">Same list for Cloud and Server; annual contract</t>
  </si>
  <si>
    <t xml:space="preserve">Tableau Enterprise / Tableau+</t>
  </si>
  <si>
    <t xml:space="preserve">Enterprise $115 / $70 / $35 used as Tableau+ floor</t>
  </si>
  <si>
    <t xml:space="preserve">https://www.tableau.com/pricing/cloud</t>
  </si>
  <si>
    <t xml:space="preserve">Quote-only</t>
  </si>
  <si>
    <t xml:space="preserve">Tableau+ price not published - obtain Salesforce quote</t>
  </si>
  <si>
    <t xml:space="preserve">Tableau Cloud hosting</t>
  </si>
  <si>
    <t xml:space="preserve">Runs on Salesforce Hyperforce on AWS</t>
  </si>
  <si>
    <t xml:space="preserve">https://aws.amazon.com/blogs/migration-and-modernization/migration-of-tableau-cloud-to-salesforce-hyperforce-on-aws/</t>
  </si>
  <si>
    <t xml:space="preserve">Choose site region matching Snowflake region</t>
  </si>
  <si>
    <t xml:space="preserve">Amazon QuickSight</t>
  </si>
  <si>
    <t xml:space="preserve">$24 Author; $40 Author Pro; $3 Reader; $20 Reader Pro; $250/account/month Pro fee</t>
  </si>
  <si>
    <t xml:space="preserve">Now 'Amazon Quick Sight' within Amazon Quick Suite; Author includes NL Q&amp;A</t>
  </si>
  <si>
    <t xml:space="preserve">Snowflake compute</t>
  </si>
  <si>
    <t xml:space="preserve">$3.00/credit Enterprise (AWS US East on-demand)</t>
  </si>
  <si>
    <t xml:space="preserve">Business Critical $4.00 - use if IDB requires it</t>
  </si>
  <si>
    <t xml:space="preserve">Snowflake data transfer</t>
  </si>
  <si>
    <t xml:space="preserve">$0.09/GB ($90/TB) to other cloud or internet</t>
  </si>
  <si>
    <t xml:space="preserve">Snowflake does not bill egress for driver-retrieved query results</t>
  </si>
  <si>
    <t xml:space="preserve">Snowflake egress rules</t>
  </si>
  <si>
    <t xml:space="preserve">Which operations incur egress</t>
  </si>
  <si>
    <t xml:space="preserve">https://docs.snowflake.com/en/user-guide/cost-understanding-data-transfer</t>
  </si>
  <si>
    <t xml:space="preserve">Unload, replication, external functions etc.</t>
  </si>
  <si>
    <t xml:space="preserve">Fabric mirroring</t>
  </si>
  <si>
    <t xml:space="preserve">Cross-cloud replication option</t>
  </si>
  <si>
    <t xml:space="preserve">https://learn.microsoft.com/en-us/fabric/mirroring/snowflake</t>
  </si>
  <si>
    <t xml:space="preserve">Reference</t>
  </si>
  <si>
    <t xml:space="preserve">Snowflake compute, Fabric query capacity and reseeds remain</t>
  </si>
  <si>
    <t xml:space="preserve">IDB report estate</t>
  </si>
  <si>
    <t xml:space="preserve">~280 current reports; 250 modelled</t>
  </si>
  <si>
    <t xml:space="preserve">IDB discovery input</t>
  </si>
  <si>
    <t xml:space="preserve">IDB input</t>
  </si>
  <si>
    <t xml:space="preserve">Confirm active/duplicate/regulatory disposition</t>
  </si>
  <si>
    <t xml:space="preserve">Model status</t>
  </si>
  <si>
    <t xml:space="preserve">Illustrative; not a vendor quote</t>
  </si>
  <si>
    <t xml:space="preserve">User inputs + public sources</t>
  </si>
  <si>
    <t xml:space="preserve">Replace yellow cells with IDB quotes and PoV measurements</t>
  </si>
  <si>
    <t xml:space="preserve">Change Log - v2 (23 October 2026)</t>
  </si>
  <si>
    <t xml:space="preserve">#</t>
  </si>
  <si>
    <t xml:space="preserve">Change</t>
  </si>
  <si>
    <t xml:space="preserve">Detail / impact</t>
  </si>
  <si>
    <t xml:space="preserve">Snowflake credit rate populated</t>
  </si>
  <si>
    <t xml:space="preserve">Inputs credit rate was blank, so base Snowflake compute was $0 in every config. Set to $3.00 (Enterprise, AWS US East) - adds $10,800/yr (300 credits) or $10,080/yr (QuickSight, 280 credits).</t>
  </si>
  <si>
    <t xml:space="preserve">All 20 configurations modelled on every sheet</t>
  </si>
  <si>
    <t xml:space="preserve">Added Premium P1 + Pro and Tableau+ (AI tier). TCO Comparison, Scenario Simulator and Dashboard now carry all 20 rows; Scenario Simulator previously covered 6.</t>
  </si>
  <si>
    <t xml:space="preserve">Fabric F64 rates aligned to list</t>
  </si>
  <si>
    <t xml:space="preserve">Monthly inputs $8,409.60 PAYG / $5,002.67 reserved (previously rounded annuals $100,908 / $60,000).</t>
  </si>
  <si>
    <t xml:space="preserve">Tableau+ priced from Enterprise list floor</t>
  </si>
  <si>
    <t xml:space="preserve">Tableau+ is quote-only. Previous POV used $115/$70/$25 - the $25 viewer is below the $35 Enterprise list, so Tableau+ was understated. Now $115/$70/$35.</t>
  </si>
  <si>
    <t xml:space="preserve">QuickSight explorers licensed</t>
  </si>
  <si>
    <t xml:space="preserve">25 explorers/analysts were unlicensed in QuickSight rows (free) while licensed on Power BI and Tableau. Now licensed as Authors (Standard) or Author Pro (AI tier).</t>
  </si>
  <si>
    <t xml:space="preserve">Tableau Cloud placement corrected</t>
  </si>
  <si>
    <t xml:space="preserve">Tableau Cloud runs on Salesforce Hyperforce on AWS. With Snowflake on AWS it is same-cloud (factor 0); with Snowflake on Azure it is cross-cloud (factor 0.75). Previously both placements carried the same cross-cloud cost.</t>
  </si>
  <si>
    <t xml:space="preserve">Cross-Cloud Premium sheet added</t>
  </si>
  <si>
    <t xml:space="preserve">Answers: Power BI premium with Snowflake on AWS vs Azure, whether Tableau has the same issue, and cost-reduction levers (uses previously unused private-path and import-reduction inputs).</t>
  </si>
  <si>
    <t xml:space="preserve">Break-even checks added</t>
  </si>
  <si>
    <t xml:space="preserve">F64 vs Pro, PAYG vs Pro and PPU vs F64 break-evens computed from inputs.</t>
  </si>
  <si>
    <t xml:space="preserve">AI uplift computed by scenario</t>
  </si>
  <si>
    <t xml:space="preserve">Tableau+ and QuickSight Pro uplifts derived from Scenario Simulator rows.</t>
  </si>
  <si>
    <t xml:space="preserve">Sources re-validated</t>
  </si>
  <si>
    <t xml:space="preserve">Every list price checked against vendor pages on 23 Oct 2026; status column added.</t>
  </si>
  <si>
    <t xml:space="preserve">Consistent formatting</t>
  </si>
  <si>
    <t xml:space="preserve">Arial throughout, one header style, yellow/blue input convention, frozen panes.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</si>
</sst>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;&quot;($&quot;#,##0\);\-"/>
    <numFmt numFmtId="167" formatCode="0"/>
    <numFmt numFmtId="168" formatCode="\$0.00"/>
    <numFmt numFmtId="169" formatCode="\$#,##0"/>
    <numFmt numFmtId="170" formatCode="0%"/>
    <numFmt numFmtId="171" formatCode="\$#,##0.00"/>
    <numFmt numFmtId="172" formatCode="0.00"/>
    <numFmt numFmtId="173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1F29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i val="true"/>
      <sz val="10"/>
      <color rgb="FF1F2933"/>
      <name val="Arial"/>
      <family val="0"/>
      <charset val="1"/>
    </font>
    <font>
      <sz val="10"/>
      <color rgb="FF0061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1F2933"/>
      </patternFill>
    </fill>
    <fill>
      <patternFill patternType="solid">
        <fgColor rgb="FFEAF3F6"/>
        <bgColor rgb="FFF7F9FB"/>
      </patternFill>
    </fill>
    <fill>
      <patternFill patternType="solid">
        <fgColor rgb="FFFFF3CD"/>
        <bgColor rgb="FFFFF2CC"/>
      </patternFill>
    </fill>
    <fill>
      <patternFill patternType="solid">
        <fgColor rgb="FF0F6B78"/>
        <bgColor rgb="FF008080"/>
      </patternFill>
    </fill>
    <fill>
      <patternFill patternType="solid">
        <fgColor rgb="FFFFF2CC"/>
        <bgColor rgb="FFFFF3CD"/>
      </patternFill>
    </fill>
    <fill>
      <patternFill patternType="solid">
        <fgColor rgb="FFFDE8E8"/>
        <bgColor rgb="FFFFF2CC"/>
      </patternFill>
    </fill>
    <fill>
      <patternFill patternType="solid">
        <fgColor rgb="FFE2F0D9"/>
        <bgColor rgb="FFEAF3F6"/>
      </patternFill>
    </fill>
    <fill>
      <patternFill patternType="solid">
        <fgColor rgb="FFD6E4F7"/>
        <bgColor rgb="FFD9D9D9"/>
      </patternFill>
    </fill>
    <fill>
      <patternFill patternType="solid">
        <fgColor rgb="FFF7F9FB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 diagonalUp="false" diagonalDown="false">
      <left style="thin">
        <color rgb="FFC9D3DD"/>
      </left>
      <right/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F6B78"/>
      <rgbColor rgb="FFD9D9D9"/>
      <rgbColor rgb="FF808080"/>
      <rgbColor rgb="FF9999FF"/>
      <rgbColor rgb="FF993366"/>
      <rgbColor rgb="FFFFF3CD"/>
      <rgbColor rgb="FFEAF3F6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F0D9"/>
      <rgbColor rgb="FFFFF2CC"/>
      <rgbColor rgb="FFF7F9FB"/>
      <rgbColor rgb="FFF9F9F9"/>
      <rgbColor rgb="FFCC99FF"/>
      <rgbColor rgb="FFFDE8E8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7365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TCO by configuration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Dashboard!F3</c:f>
              <c:strCache>
                <c:ptCount val="1"/>
                <c:pt idx="0">
                  <c:v>5-year TCO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Dashboard!$L$4:$L$23</c:f>
              <c:strCache>
                <c:ptCount val="20"/>
                <c:pt idx="0">
                  <c:v>Power BI/AWS - Pro - all named</c:v>
                </c:pt>
                <c:pt idx="1">
                  <c:v>Power BI/AWS - PPU - all named</c:v>
                </c:pt>
                <c:pt idx="2">
                  <c:v>Power BI/AWS - Fabric F64 Reserved + Pro</c:v>
                </c:pt>
                <c:pt idx="3">
                  <c:v>Power BI/AWS - Fabric F64 PAYG + Pro</c:v>
                </c:pt>
                <c:pt idx="4">
                  <c:v>Power BI/AWS - Premium P1 + Pro</c:v>
                </c:pt>
                <c:pt idx="5">
                  <c:v>Tableau Cloud/AWS - Standard role-based</c:v>
                </c:pt>
                <c:pt idx="6">
                  <c:v>Tableau Cloud/AWS - Tableau+ (AI tier)</c:v>
                </c:pt>
                <c:pt idx="7">
                  <c:v>Tableau Server/AWS - Standard role-based</c:v>
                </c:pt>
                <c:pt idx="8">
                  <c:v>QuickSight/AWS - Standard Author + Reader</c:v>
                </c:pt>
                <c:pt idx="9">
                  <c:v>QuickSight/AWS - Author Pro + Q (AI)</c:v>
                </c:pt>
                <c:pt idx="10">
                  <c:v>Power BI/Azure - Pro - all named</c:v>
                </c:pt>
                <c:pt idx="11">
                  <c:v>Power BI/Azure - PPU - all named</c:v>
                </c:pt>
                <c:pt idx="12">
                  <c:v>Power BI/Azure - Fabric F64 Reserved + Pro</c:v>
                </c:pt>
                <c:pt idx="13">
                  <c:v>Power BI/Azure - Fabric F64 PAYG + Pro</c:v>
                </c:pt>
                <c:pt idx="14">
                  <c:v>Power BI/Azure - Premium P1 + Pro</c:v>
                </c:pt>
                <c:pt idx="15">
                  <c:v>Tableau Cloud/Azure - Standard role-based</c:v>
                </c:pt>
                <c:pt idx="16">
                  <c:v>Tableau Cloud/Azure - Tableau+ (AI tier)</c:v>
                </c:pt>
                <c:pt idx="17">
                  <c:v>Tableau Server/Azure - Standard role-based</c:v>
                </c:pt>
                <c:pt idx="18">
                  <c:v>QuickSight/Azure - Standard Author + Reader</c:v>
                </c:pt>
                <c:pt idx="19">
                  <c:v>QuickSight/Azure - Author Pro + Q (AI)</c:v>
                </c:pt>
              </c:strCache>
            </c:strRef>
          </c:cat>
          <c:val>
            <c:numRef>
              <c:f>Dashboard!$F$4:$F$23</c:f>
              <c:numCache>
                <c:formatCode>\$#,##0;"($"#,##0\);\-</c:formatCode>
                <c:ptCount val="20"/>
                <c:pt idx="0">
                  <c:v>1438000</c:v>
                </c:pt>
                <c:pt idx="1">
                  <c:v>1768000</c:v>
                </c:pt>
                <c:pt idx="2">
                  <c:v>1318160.2</c:v>
                </c:pt>
                <c:pt idx="3">
                  <c:v>1522576</c:v>
                </c:pt>
                <c:pt idx="4">
                  <c:v>1317700</c:v>
                </c:pt>
                <c:pt idx="5">
                  <c:v>1504500</c:v>
                </c:pt>
                <c:pt idx="6">
                  <c:v>2206500</c:v>
                </c:pt>
                <c:pt idx="7">
                  <c:v>1754500</c:v>
                </c:pt>
                <c:pt idx="8">
                  <c:v>1137400</c:v>
                </c:pt>
                <c:pt idx="9">
                  <c:v>1200400</c:v>
                </c:pt>
                <c:pt idx="10">
                  <c:v>1271000</c:v>
                </c:pt>
                <c:pt idx="11">
                  <c:v>1601000</c:v>
                </c:pt>
                <c:pt idx="12">
                  <c:v>1151160.2</c:v>
                </c:pt>
                <c:pt idx="13">
                  <c:v>1355576</c:v>
                </c:pt>
                <c:pt idx="14">
                  <c:v>1150700</c:v>
                </c:pt>
                <c:pt idx="15">
                  <c:v>1609750</c:v>
                </c:pt>
                <c:pt idx="16">
                  <c:v>2311750</c:v>
                </c:pt>
                <c:pt idx="17">
                  <c:v>1754500</c:v>
                </c:pt>
                <c:pt idx="18">
                  <c:v>1297450</c:v>
                </c:pt>
                <c:pt idx="19">
                  <c:v>1360450</c:v>
                </c:pt>
              </c:numCache>
            </c:numRef>
          </c:val>
        </c:ser>
        <c:gapWidth val="150"/>
        <c:overlap val="0"/>
        <c:axId val="51901040"/>
        <c:axId val="52900390"/>
      </c:barChart>
      <c:catAx>
        <c:axId val="519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00390"/>
        <c:crosses val="autoZero"/>
        <c:auto val="1"/>
        <c:lblAlgn val="ctr"/>
        <c:lblOffset val="100"/>
        <c:noMultiLvlLbl val="0"/>
      </c:catAx>
      <c:valAx>
        <c:axId val="52900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01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78120</xdr:rowOff>
    </xdr:from>
    <xdr:to>
      <xdr:col>4</xdr:col>
      <xdr:colOff>1857960</xdr:colOff>
      <xdr:row>52</xdr:row>
      <xdr:rowOff>16200</xdr:rowOff>
    </xdr:to>
    <xdr:graphicFrame>
      <xdr:nvGraphicFramePr>
        <xdr:cNvPr id="0" name="Chart 1"/>
        <xdr:cNvGraphicFramePr/>
      </xdr:nvGraphicFramePr>
      <xdr:xfrm>
        <a:off x="0" y="7048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7" min="6" style="0" width="1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50"/>
    <col collapsed="false" customWidth="true" hidden="false" outlineLevel="0" max="12" min="12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0" hidden="false" customHeight="true" outlineLevel="0" collapsed="false">
      <c r="A3" s="2" t="s">
        <v>1</v>
      </c>
      <c r="B3" s="3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L3" s="4" t="s">
        <v>11</v>
      </c>
    </row>
    <row r="4" customFormat="false" ht="15" hidden="false" customHeight="false" outlineLevel="0" collapsed="false">
      <c r="A4" s="5" t="s">
        <v>12</v>
      </c>
      <c r="B4" s="6" t="n">
        <f aca="false">Inputs!$B$6</f>
        <v>500</v>
      </c>
      <c r="C4" s="5" t="s">
        <v>13</v>
      </c>
      <c r="D4" s="5" t="s">
        <v>14</v>
      </c>
      <c r="E4" s="5" t="s">
        <v>15</v>
      </c>
      <c r="F4" s="7" t="n">
        <f aca="false">'TCO Comparison'!I5</f>
        <v>1438000</v>
      </c>
      <c r="G4" s="8" t="n">
        <f aca="false">'TCO Comparison'!J5</f>
        <v>287600</v>
      </c>
      <c r="H4" s="9" t="n">
        <f aca="false">'TCO Comparison'!L5</f>
        <v>11</v>
      </c>
      <c r="I4" s="9" t="n">
        <f aca="false">'TCO Comparison'!M5</f>
        <v>5</v>
      </c>
      <c r="J4" s="5" t="s">
        <v>16</v>
      </c>
      <c r="L4" s="4" t="str">
        <f aca="false">SUBSTITUTE(D4," + Snowflake ","/")&amp;" - "&amp;E4</f>
        <v>Power BI/AWS - Pro - all named</v>
      </c>
    </row>
    <row r="5" customFormat="false" ht="15" hidden="false" customHeight="false" outlineLevel="0" collapsed="false">
      <c r="A5" s="5" t="s">
        <v>17</v>
      </c>
      <c r="B5" s="6" t="n">
        <f aca="false">Inputs!$B$7+Inputs!$B$8</f>
        <v>50</v>
      </c>
      <c r="C5" s="5" t="s">
        <v>13</v>
      </c>
      <c r="D5" s="5" t="s">
        <v>14</v>
      </c>
      <c r="E5" s="5" t="s">
        <v>18</v>
      </c>
      <c r="F5" s="7" t="n">
        <f aca="false">'TCO Comparison'!I6</f>
        <v>1768000</v>
      </c>
      <c r="G5" s="8" t="n">
        <f aca="false">'TCO Comparison'!J6</f>
        <v>353600</v>
      </c>
      <c r="H5" s="9" t="n">
        <f aca="false">'TCO Comparison'!L6</f>
        <v>18</v>
      </c>
      <c r="I5" s="9" t="n">
        <f aca="false">'TCO Comparison'!M6</f>
        <v>9</v>
      </c>
      <c r="J5" s="5" t="s">
        <v>19</v>
      </c>
      <c r="L5" s="4" t="str">
        <f aca="false">SUBSTITUTE(D5," + Snowflake ","/")&amp;" - "&amp;E5</f>
        <v>Power BI/AWS - PPU - all named</v>
      </c>
    </row>
    <row r="6" customFormat="false" ht="15" hidden="false" customHeight="false" outlineLevel="0" collapsed="false">
      <c r="A6" s="5" t="s">
        <v>20</v>
      </c>
      <c r="B6" s="6" t="n">
        <f aca="false">Inputs!$B$10</f>
        <v>5</v>
      </c>
      <c r="C6" s="10" t="s">
        <v>13</v>
      </c>
      <c r="D6" s="10" t="s">
        <v>14</v>
      </c>
      <c r="E6" s="10" t="s">
        <v>21</v>
      </c>
      <c r="F6" s="11" t="n">
        <f aca="false">'TCO Comparison'!I7</f>
        <v>1318160.2</v>
      </c>
      <c r="G6" s="12" t="n">
        <f aca="false">'TCO Comparison'!J7</f>
        <v>263632.04</v>
      </c>
      <c r="H6" s="13" t="n">
        <f aca="false">'TCO Comparison'!L7</f>
        <v>8</v>
      </c>
      <c r="I6" s="13" t="n">
        <f aca="false">'TCO Comparison'!M7</f>
        <v>4</v>
      </c>
      <c r="J6" s="10" t="s">
        <v>22</v>
      </c>
      <c r="L6" s="4" t="str">
        <f aca="false">SUBSTITUTE(D6," + Snowflake ","/")&amp;" - "&amp;E6</f>
        <v>Power BI/AWS - Fabric F64 Reserved + Pro</v>
      </c>
    </row>
    <row r="7" customFormat="false" ht="15" hidden="false" customHeight="false" outlineLevel="0" collapsed="false">
      <c r="A7" s="5" t="s">
        <v>23</v>
      </c>
      <c r="B7" s="6" t="n">
        <f aca="false">Inputs!$B$11</f>
        <v>250</v>
      </c>
      <c r="C7" s="5" t="s">
        <v>13</v>
      </c>
      <c r="D7" s="5" t="s">
        <v>14</v>
      </c>
      <c r="E7" s="5" t="s">
        <v>24</v>
      </c>
      <c r="F7" s="7" t="n">
        <f aca="false">'TCO Comparison'!I8</f>
        <v>1522576</v>
      </c>
      <c r="G7" s="8" t="n">
        <f aca="false">'TCO Comparison'!J8</f>
        <v>304515.2</v>
      </c>
      <c r="H7" s="9" t="n">
        <f aca="false">'TCO Comparison'!L8</f>
        <v>13</v>
      </c>
      <c r="I7" s="9" t="n">
        <f aca="false">'TCO Comparison'!M8</f>
        <v>7</v>
      </c>
      <c r="J7" s="5" t="s">
        <v>25</v>
      </c>
      <c r="L7" s="4" t="str">
        <f aca="false">SUBSTITUTE(D7," + Snowflake ","/")&amp;" - "&amp;E7</f>
        <v>Power BI/AWS - Fabric F64 PAYG + Pro</v>
      </c>
    </row>
    <row r="8" customFormat="false" ht="15" hidden="false" customHeight="false" outlineLevel="0" collapsed="false">
      <c r="A8" s="5" t="s">
        <v>26</v>
      </c>
      <c r="B8" s="9" t="n">
        <f aca="false">Inputs!$B$12</f>
        <v>5</v>
      </c>
      <c r="C8" s="5" t="s">
        <v>13</v>
      </c>
      <c r="D8" s="5" t="s">
        <v>14</v>
      </c>
      <c r="E8" s="5" t="s">
        <v>27</v>
      </c>
      <c r="F8" s="7" t="n">
        <f aca="false">'TCO Comparison'!I9</f>
        <v>1317700</v>
      </c>
      <c r="G8" s="8" t="n">
        <f aca="false">'TCO Comparison'!J9</f>
        <v>263540</v>
      </c>
      <c r="H8" s="9" t="n">
        <f aca="false">'TCO Comparison'!L9</f>
        <v>7</v>
      </c>
      <c r="I8" s="9" t="n">
        <f aca="false">'TCO Comparison'!M9</f>
        <v>3</v>
      </c>
      <c r="J8" s="5" t="s">
        <v>28</v>
      </c>
      <c r="L8" s="4" t="str">
        <f aca="false">SUBSTITUTE(D8," + Snowflake ","/")&amp;" - "&amp;E8</f>
        <v>Power BI/AWS - Premium P1 + Pro</v>
      </c>
    </row>
    <row r="9" customFormat="false" ht="15" hidden="false" customHeight="false" outlineLevel="0" collapsed="false">
      <c r="A9" s="5" t="s">
        <v>29</v>
      </c>
      <c r="B9" s="14" t="n">
        <f aca="false">Inputs!$B$36</f>
        <v>3</v>
      </c>
      <c r="C9" s="5" t="s">
        <v>13</v>
      </c>
      <c r="D9" s="5" t="s">
        <v>30</v>
      </c>
      <c r="E9" s="5" t="s">
        <v>31</v>
      </c>
      <c r="F9" s="7" t="n">
        <f aca="false">'TCO Comparison'!I10</f>
        <v>1504500</v>
      </c>
      <c r="G9" s="8" t="n">
        <f aca="false">'TCO Comparison'!J10</f>
        <v>300900</v>
      </c>
      <c r="H9" s="9" t="n">
        <f aca="false">'TCO Comparison'!L10</f>
        <v>12</v>
      </c>
      <c r="I9" s="9" t="n">
        <f aca="false">'TCO Comparison'!M10</f>
        <v>6</v>
      </c>
      <c r="J9" s="5" t="s">
        <v>32</v>
      </c>
      <c r="L9" s="4" t="str">
        <f aca="false">SUBSTITUTE(D9," + Snowflake ","/")&amp;" - "&amp;E9</f>
        <v>Tableau Cloud/AWS - Standard role-based</v>
      </c>
    </row>
    <row r="10" customFormat="false" ht="15" hidden="false" customHeight="false" outlineLevel="0" collapsed="false">
      <c r="C10" s="5" t="s">
        <v>13</v>
      </c>
      <c r="D10" s="5" t="s">
        <v>30</v>
      </c>
      <c r="E10" s="5" t="s">
        <v>33</v>
      </c>
      <c r="F10" s="7" t="n">
        <f aca="false">'TCO Comparison'!I11</f>
        <v>2206500</v>
      </c>
      <c r="G10" s="8" t="n">
        <f aca="false">'TCO Comparison'!J11</f>
        <v>441300</v>
      </c>
      <c r="H10" s="9" t="n">
        <f aca="false">'TCO Comparison'!L11</f>
        <v>19</v>
      </c>
      <c r="I10" s="9" t="n">
        <f aca="false">'TCO Comparison'!M11</f>
        <v>10</v>
      </c>
      <c r="J10" s="5" t="s">
        <v>34</v>
      </c>
      <c r="L10" s="4" t="str">
        <f aca="false">SUBSTITUTE(D10," + Snowflake ","/")&amp;" - "&amp;E10</f>
        <v>Tableau Cloud/AWS - Tableau+ (AI tier)</v>
      </c>
    </row>
    <row r="11" customFormat="false" ht="30" hidden="false" customHeight="true" outlineLevel="0" collapsed="false">
      <c r="A11" s="2" t="s">
        <v>35</v>
      </c>
      <c r="B11" s="3" t="s">
        <v>2</v>
      </c>
      <c r="C11" s="5" t="s">
        <v>13</v>
      </c>
      <c r="D11" s="5" t="s">
        <v>36</v>
      </c>
      <c r="E11" s="5" t="s">
        <v>31</v>
      </c>
      <c r="F11" s="7" t="n">
        <f aca="false">'TCO Comparison'!I12</f>
        <v>1754500</v>
      </c>
      <c r="G11" s="8" t="n">
        <f aca="false">'TCO Comparison'!J12</f>
        <v>350900</v>
      </c>
      <c r="H11" s="9" t="n">
        <f aca="false">'TCO Comparison'!L12</f>
        <v>16</v>
      </c>
      <c r="I11" s="9" t="n">
        <f aca="false">'TCO Comparison'!M12</f>
        <v>8</v>
      </c>
      <c r="J11" s="5" t="s">
        <v>37</v>
      </c>
      <c r="L11" s="4" t="str">
        <f aca="false">SUBSTITUTE(D11," + Snowflake ","/")&amp;" - "&amp;E11</f>
        <v>Tableau Server/AWS - Standard role-based</v>
      </c>
    </row>
    <row r="12" customFormat="false" ht="15" hidden="false" customHeight="false" outlineLevel="0" collapsed="false">
      <c r="A12" s="5" t="s">
        <v>38</v>
      </c>
      <c r="B12" s="7" t="n">
        <f aca="false">MIN('TCO Comparison'!I5,'TCO Comparison'!I6,'TCO Comparison'!I7,'TCO Comparison'!I8,'TCO Comparison'!I10,'TCO Comparison'!I11,'TCO Comparison'!I12,'TCO Comparison'!I13,'TCO Comparison'!I14)</f>
        <v>1137400</v>
      </c>
      <c r="C12" s="5" t="s">
        <v>13</v>
      </c>
      <c r="D12" s="5" t="s">
        <v>39</v>
      </c>
      <c r="E12" s="5" t="s">
        <v>40</v>
      </c>
      <c r="F12" s="7" t="n">
        <f aca="false">'TCO Comparison'!I13</f>
        <v>1137400</v>
      </c>
      <c r="G12" s="8" t="n">
        <f aca="false">'TCO Comparison'!J13</f>
        <v>227480</v>
      </c>
      <c r="H12" s="9" t="n">
        <f aca="false">'TCO Comparison'!L13</f>
        <v>1</v>
      </c>
      <c r="I12" s="9" t="n">
        <f aca="false">'TCO Comparison'!M13</f>
        <v>1</v>
      </c>
      <c r="J12" s="5" t="s">
        <v>41</v>
      </c>
      <c r="L12" s="4" t="str">
        <f aca="false">SUBSTITUTE(D12," + Snowflake ","/")&amp;" - "&amp;E12</f>
        <v>QuickSight/AWS - Standard Author + Reader</v>
      </c>
    </row>
    <row r="13" customFormat="false" ht="15" hidden="false" customHeight="false" outlineLevel="0" collapsed="false">
      <c r="A13" s="5" t="s">
        <v>42</v>
      </c>
      <c r="B13" s="7" t="n">
        <f aca="false">MIN('TCO Comparison'!I16,'TCO Comparison'!I17,'TCO Comparison'!I18,'TCO Comparison'!I19,'TCO Comparison'!I21,'TCO Comparison'!I22,'TCO Comparison'!I23,'TCO Comparison'!I24,'TCO Comparison'!I25)</f>
        <v>1151160.2</v>
      </c>
      <c r="C13" s="5" t="s">
        <v>13</v>
      </c>
      <c r="D13" s="5" t="s">
        <v>39</v>
      </c>
      <c r="E13" s="5" t="s">
        <v>43</v>
      </c>
      <c r="F13" s="7" t="n">
        <f aca="false">'TCO Comparison'!I14</f>
        <v>1200400</v>
      </c>
      <c r="G13" s="8" t="n">
        <f aca="false">'TCO Comparison'!J14</f>
        <v>240080</v>
      </c>
      <c r="H13" s="9" t="n">
        <f aca="false">'TCO Comparison'!L14</f>
        <v>4</v>
      </c>
      <c r="I13" s="9" t="n">
        <f aca="false">'TCO Comparison'!M14</f>
        <v>2</v>
      </c>
      <c r="J13" s="5" t="s">
        <v>44</v>
      </c>
      <c r="L13" s="4" t="str">
        <f aca="false">SUBSTITUTE(D13," + Snowflake ","/")&amp;" - "&amp;E13</f>
        <v>QuickSight/AWS - Author Pro + Q (AI)</v>
      </c>
    </row>
    <row r="14" customFormat="false" ht="15" hidden="false" customHeight="false" outlineLevel="0" collapsed="false">
      <c r="A14" s="5" t="s">
        <v>45</v>
      </c>
      <c r="B14" s="7" t="n">
        <f aca="false">'Cross-Cloud Premium'!G5</f>
        <v>33400</v>
      </c>
      <c r="C14" s="5" t="s">
        <v>46</v>
      </c>
      <c r="D14" s="5" t="s">
        <v>47</v>
      </c>
      <c r="E14" s="5" t="s">
        <v>15</v>
      </c>
      <c r="F14" s="7" t="n">
        <f aca="false">'TCO Comparison'!I16</f>
        <v>1271000</v>
      </c>
      <c r="G14" s="8" t="n">
        <f aca="false">'TCO Comparison'!J16</f>
        <v>254200</v>
      </c>
      <c r="H14" s="9" t="n">
        <f aca="false">'TCO Comparison'!L16</f>
        <v>5</v>
      </c>
      <c r="I14" s="9" t="n">
        <f aca="false">'TCO Comparison'!M16</f>
        <v>3</v>
      </c>
      <c r="J14" s="5" t="s">
        <v>48</v>
      </c>
      <c r="L14" s="4" t="str">
        <f aca="false">SUBSTITUTE(D14," + Snowflake ","/")&amp;" - "&amp;E14</f>
        <v>Power BI/Azure - Pro - all named</v>
      </c>
    </row>
    <row r="15" customFormat="false" ht="23.85" hidden="false" customHeight="false" outlineLevel="0" collapsed="false">
      <c r="A15" s="5" t="s">
        <v>49</v>
      </c>
      <c r="B15" s="7" t="n">
        <f aca="false">'Cross-Cloud Premium'!C13</f>
        <v>167000</v>
      </c>
      <c r="C15" s="5" t="s">
        <v>46</v>
      </c>
      <c r="D15" s="5" t="s">
        <v>47</v>
      </c>
      <c r="E15" s="5" t="s">
        <v>18</v>
      </c>
      <c r="F15" s="7" t="n">
        <f aca="false">'TCO Comparison'!I17</f>
        <v>1601000</v>
      </c>
      <c r="G15" s="8" t="n">
        <f aca="false">'TCO Comparison'!J17</f>
        <v>320200</v>
      </c>
      <c r="H15" s="9" t="n">
        <f aca="false">'TCO Comparison'!L17</f>
        <v>14</v>
      </c>
      <c r="I15" s="9" t="n">
        <f aca="false">'TCO Comparison'!M17</f>
        <v>7</v>
      </c>
      <c r="J15" s="5" t="s">
        <v>50</v>
      </c>
      <c r="L15" s="4" t="str">
        <f aca="false">SUBSTITUTE(D15," + Snowflake ","/")&amp;" - "&amp;E15</f>
        <v>Power BI/Azure - PPU - all named</v>
      </c>
    </row>
    <row r="16" customFormat="false" ht="15" hidden="false" customHeight="false" outlineLevel="0" collapsed="false">
      <c r="A16" s="5" t="s">
        <v>51</v>
      </c>
      <c r="B16" s="7" t="n">
        <f aca="false">'Cross-Cloud Premium'!G25</f>
        <v>22240</v>
      </c>
      <c r="C16" s="10" t="s">
        <v>46</v>
      </c>
      <c r="D16" s="10" t="s">
        <v>47</v>
      </c>
      <c r="E16" s="10" t="s">
        <v>21</v>
      </c>
      <c r="F16" s="11" t="n">
        <f aca="false">'TCO Comparison'!I18</f>
        <v>1151160.2</v>
      </c>
      <c r="G16" s="12" t="n">
        <f aca="false">'TCO Comparison'!J18</f>
        <v>230232.04</v>
      </c>
      <c r="H16" s="13" t="n">
        <f aca="false">'TCO Comparison'!L18</f>
        <v>3</v>
      </c>
      <c r="I16" s="13" t="n">
        <f aca="false">'TCO Comparison'!M18</f>
        <v>2</v>
      </c>
      <c r="J16" s="10" t="s">
        <v>52</v>
      </c>
      <c r="L16" s="4" t="str">
        <f aca="false">SUBSTITUTE(D16," + Snowflake ","/")&amp;" - "&amp;E16</f>
        <v>Power BI/Azure - Fabric F64 Reserved + Pro</v>
      </c>
    </row>
    <row r="17" customFormat="false" ht="15" hidden="false" customHeight="false" outlineLevel="0" collapsed="false">
      <c r="C17" s="5" t="s">
        <v>46</v>
      </c>
      <c r="D17" s="5" t="s">
        <v>47</v>
      </c>
      <c r="E17" s="5" t="s">
        <v>24</v>
      </c>
      <c r="F17" s="7" t="n">
        <f aca="false">'TCO Comparison'!I19</f>
        <v>1355576</v>
      </c>
      <c r="G17" s="8" t="n">
        <f aca="false">'TCO Comparison'!J19</f>
        <v>271115.2</v>
      </c>
      <c r="H17" s="9" t="n">
        <f aca="false">'TCO Comparison'!L19</f>
        <v>9</v>
      </c>
      <c r="I17" s="9" t="n">
        <f aca="false">'TCO Comparison'!M19</f>
        <v>5</v>
      </c>
      <c r="J17" s="5" t="s">
        <v>25</v>
      </c>
      <c r="L17" s="4" t="str">
        <f aca="false">SUBSTITUTE(D17," + Snowflake ","/")&amp;" - "&amp;E17</f>
        <v>Power BI/Azure - Fabric F64 PAYG + Pro</v>
      </c>
    </row>
    <row r="18" customFormat="false" ht="15" hidden="false" customHeight="false" outlineLevel="0" collapsed="false">
      <c r="C18" s="5" t="s">
        <v>46</v>
      </c>
      <c r="D18" s="5" t="s">
        <v>47</v>
      </c>
      <c r="E18" s="5" t="s">
        <v>27</v>
      </c>
      <c r="F18" s="7" t="n">
        <f aca="false">'TCO Comparison'!I20</f>
        <v>1150700</v>
      </c>
      <c r="G18" s="8" t="n">
        <f aca="false">'TCO Comparison'!J20</f>
        <v>230140</v>
      </c>
      <c r="H18" s="9" t="n">
        <f aca="false">'TCO Comparison'!L20</f>
        <v>2</v>
      </c>
      <c r="I18" s="9" t="n">
        <f aca="false">'TCO Comparison'!M20</f>
        <v>1</v>
      </c>
      <c r="J18" s="5" t="s">
        <v>28</v>
      </c>
      <c r="L18" s="4" t="str">
        <f aca="false">SUBSTITUTE(D18," + Snowflake ","/")&amp;" - "&amp;E18</f>
        <v>Power BI/Azure - Premium P1 + Pro</v>
      </c>
    </row>
    <row r="19" customFormat="false" ht="15" hidden="false" customHeight="false" outlineLevel="0" collapsed="false">
      <c r="C19" s="5" t="s">
        <v>46</v>
      </c>
      <c r="D19" s="5" t="s">
        <v>53</v>
      </c>
      <c r="E19" s="5" t="s">
        <v>31</v>
      </c>
      <c r="F19" s="7" t="n">
        <f aca="false">'TCO Comparison'!I21</f>
        <v>1609750</v>
      </c>
      <c r="G19" s="8" t="n">
        <f aca="false">'TCO Comparison'!J21</f>
        <v>321950</v>
      </c>
      <c r="H19" s="9" t="n">
        <f aca="false">'TCO Comparison'!L21</f>
        <v>15</v>
      </c>
      <c r="I19" s="9" t="n">
        <f aca="false">'TCO Comparison'!M21</f>
        <v>8</v>
      </c>
      <c r="J19" s="5" t="s">
        <v>54</v>
      </c>
      <c r="L19" s="4" t="str">
        <f aca="false">SUBSTITUTE(D19," + Snowflake ","/")&amp;" - "&amp;E19</f>
        <v>Tableau Cloud/Azure - Standard role-based</v>
      </c>
    </row>
    <row r="20" customFormat="false" ht="15" hidden="false" customHeight="false" outlineLevel="0" collapsed="false">
      <c r="C20" s="5" t="s">
        <v>46</v>
      </c>
      <c r="D20" s="5" t="s">
        <v>53</v>
      </c>
      <c r="E20" s="5" t="s">
        <v>33</v>
      </c>
      <c r="F20" s="7" t="n">
        <f aca="false">'TCO Comparison'!I22</f>
        <v>2311750</v>
      </c>
      <c r="G20" s="8" t="n">
        <f aca="false">'TCO Comparison'!J22</f>
        <v>462350</v>
      </c>
      <c r="H20" s="9" t="n">
        <f aca="false">'TCO Comparison'!L22</f>
        <v>20</v>
      </c>
      <c r="I20" s="9" t="n">
        <f aca="false">'TCO Comparison'!M22</f>
        <v>10</v>
      </c>
      <c r="J20" s="5" t="s">
        <v>34</v>
      </c>
      <c r="L20" s="4" t="str">
        <f aca="false">SUBSTITUTE(D20," + Snowflake ","/")&amp;" - "&amp;E20</f>
        <v>Tableau Cloud/Azure - Tableau+ (AI tier)</v>
      </c>
    </row>
    <row r="21" customFormat="false" ht="15" hidden="false" customHeight="false" outlineLevel="0" collapsed="false">
      <c r="C21" s="5" t="s">
        <v>46</v>
      </c>
      <c r="D21" s="5" t="s">
        <v>55</v>
      </c>
      <c r="E21" s="5" t="s">
        <v>31</v>
      </c>
      <c r="F21" s="7" t="n">
        <f aca="false">'TCO Comparison'!I23</f>
        <v>1754500</v>
      </c>
      <c r="G21" s="8" t="n">
        <f aca="false">'TCO Comparison'!J23</f>
        <v>350900</v>
      </c>
      <c r="H21" s="9" t="n">
        <f aca="false">'TCO Comparison'!L23</f>
        <v>16</v>
      </c>
      <c r="I21" s="9" t="n">
        <f aca="false">'TCO Comparison'!M23</f>
        <v>9</v>
      </c>
      <c r="J21" s="5" t="s">
        <v>37</v>
      </c>
      <c r="L21" s="4" t="str">
        <f aca="false">SUBSTITUTE(D21," + Snowflake ","/")&amp;" - "&amp;E21</f>
        <v>Tableau Server/Azure - Standard role-based</v>
      </c>
    </row>
    <row r="22" customFormat="false" ht="15" hidden="false" customHeight="false" outlineLevel="0" collapsed="false">
      <c r="C22" s="5" t="s">
        <v>46</v>
      </c>
      <c r="D22" s="5" t="s">
        <v>56</v>
      </c>
      <c r="E22" s="5" t="s">
        <v>40</v>
      </c>
      <c r="F22" s="7" t="n">
        <f aca="false">'TCO Comparison'!I24</f>
        <v>1297450</v>
      </c>
      <c r="G22" s="8" t="n">
        <f aca="false">'TCO Comparison'!J24</f>
        <v>259490</v>
      </c>
      <c r="H22" s="9" t="n">
        <f aca="false">'TCO Comparison'!L24</f>
        <v>6</v>
      </c>
      <c r="I22" s="9" t="n">
        <f aca="false">'TCO Comparison'!M24</f>
        <v>4</v>
      </c>
      <c r="J22" s="5" t="s">
        <v>57</v>
      </c>
      <c r="L22" s="4" t="str">
        <f aca="false">SUBSTITUTE(D22," + Snowflake ","/")&amp;" - "&amp;E22</f>
        <v>QuickSight/Azure - Standard Author + Reader</v>
      </c>
    </row>
    <row r="23" customFormat="false" ht="15" hidden="false" customHeight="false" outlineLevel="0" collapsed="false">
      <c r="C23" s="5" t="s">
        <v>46</v>
      </c>
      <c r="D23" s="5" t="s">
        <v>56</v>
      </c>
      <c r="E23" s="5" t="s">
        <v>43</v>
      </c>
      <c r="F23" s="7" t="n">
        <f aca="false">'TCO Comparison'!I25</f>
        <v>1360450</v>
      </c>
      <c r="G23" s="8" t="n">
        <f aca="false">'TCO Comparison'!J25</f>
        <v>272090</v>
      </c>
      <c r="H23" s="9" t="n">
        <f aca="false">'TCO Comparison'!L25</f>
        <v>10</v>
      </c>
      <c r="I23" s="9" t="n">
        <f aca="false">'TCO Comparison'!M25</f>
        <v>6</v>
      </c>
      <c r="J23" s="5" t="s">
        <v>58</v>
      </c>
      <c r="L23" s="4" t="str">
        <f aca="false">SUBSTITUTE(D23," + Snowflake ","/")&amp;" - "&amp;E23</f>
        <v>QuickSight/Azure - Author Pro + Q (AI)</v>
      </c>
    </row>
    <row r="25" customFormat="false" ht="15" hidden="false" customHeight="false" outlineLevel="0" collapsed="false">
      <c r="A25" s="15" t="s">
        <v>59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30" hidden="false" customHeight="true" outlineLevel="0" collapsed="false">
      <c r="A26" s="2" t="s">
        <v>60</v>
      </c>
      <c r="B26" s="3" t="s">
        <v>61</v>
      </c>
      <c r="C26" s="3"/>
      <c r="D26" s="3" t="s">
        <v>62</v>
      </c>
      <c r="E26" s="3" t="s">
        <v>63</v>
      </c>
      <c r="F26" s="3"/>
      <c r="G26" s="3"/>
      <c r="H26" s="3"/>
      <c r="I26" s="3"/>
      <c r="J26" s="3"/>
    </row>
    <row r="27" customFormat="false" ht="31.5" hidden="false" customHeight="true" outlineLevel="0" collapsed="false">
      <c r="A27" s="16" t="s">
        <v>13</v>
      </c>
      <c r="B27" s="5" t="s">
        <v>64</v>
      </c>
      <c r="C27" s="5"/>
      <c r="D27" s="5" t="s">
        <v>65</v>
      </c>
      <c r="E27" s="17" t="s">
        <v>66</v>
      </c>
      <c r="F27" s="17"/>
      <c r="G27" s="17"/>
      <c r="H27" s="17"/>
      <c r="I27" s="17"/>
      <c r="J27" s="17"/>
    </row>
    <row r="28" customFormat="false" ht="31.5" hidden="false" customHeight="true" outlineLevel="0" collapsed="false">
      <c r="A28" s="16" t="s">
        <v>46</v>
      </c>
      <c r="B28" s="5" t="s">
        <v>67</v>
      </c>
      <c r="C28" s="5"/>
      <c r="D28" s="5" t="s">
        <v>65</v>
      </c>
      <c r="E28" s="17" t="s">
        <v>68</v>
      </c>
      <c r="F28" s="17"/>
      <c r="G28" s="17"/>
      <c r="H28" s="17"/>
      <c r="I28" s="17"/>
      <c r="J28" s="17"/>
    </row>
    <row r="29" customFormat="false" ht="31.5" hidden="false" customHeight="true" outlineLevel="0" collapsed="false">
      <c r="A29" s="16" t="s">
        <v>69</v>
      </c>
      <c r="B29" s="5" t="s">
        <v>70</v>
      </c>
      <c r="C29" s="5"/>
      <c r="D29" s="5" t="s">
        <v>65</v>
      </c>
      <c r="E29" s="17" t="s">
        <v>71</v>
      </c>
      <c r="F29" s="17"/>
      <c r="G29" s="17"/>
      <c r="H29" s="17"/>
      <c r="I29" s="17"/>
      <c r="J29" s="17"/>
    </row>
  </sheetData>
  <mergeCells count="9">
    <mergeCell ref="A1:J1"/>
    <mergeCell ref="A25:J25"/>
    <mergeCell ref="E26:J26"/>
    <mergeCell ref="B27:C27"/>
    <mergeCell ref="E27:J27"/>
    <mergeCell ref="B28:C28"/>
    <mergeCell ref="E28:J28"/>
    <mergeCell ref="B29:C29"/>
    <mergeCell ref="E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50"/>
    <col collapsed="false" customWidth="true" hidden="false" outlineLevel="0" max="6" min="6" style="0" width="44"/>
  </cols>
  <sheetData>
    <row r="1" customFormat="false" ht="25.5" hidden="false" customHeight="true" outlineLevel="0" collapsed="false">
      <c r="A1" s="1" t="s">
        <v>72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18" t="s">
        <v>73</v>
      </c>
      <c r="B2" s="18"/>
      <c r="C2" s="18"/>
      <c r="D2" s="18"/>
      <c r="E2" s="18"/>
      <c r="F2" s="18"/>
    </row>
    <row r="4" customFormat="false" ht="15" hidden="false" customHeight="false" outlineLevel="0" collapsed="false">
      <c r="A4" s="15" t="s">
        <v>74</v>
      </c>
      <c r="B4" s="15"/>
      <c r="C4" s="15"/>
      <c r="D4" s="15"/>
      <c r="E4" s="15"/>
      <c r="F4" s="15"/>
    </row>
    <row r="5" customFormat="false" ht="30" hidden="false" customHeight="true" outlineLevel="0" collapsed="false">
      <c r="A5" s="2" t="s">
        <v>75</v>
      </c>
      <c r="B5" s="3" t="s">
        <v>2</v>
      </c>
      <c r="C5" s="3" t="s">
        <v>76</v>
      </c>
      <c r="D5" s="3" t="s">
        <v>77</v>
      </c>
      <c r="E5" s="3" t="s">
        <v>78</v>
      </c>
      <c r="F5" s="3" t="s">
        <v>79</v>
      </c>
    </row>
    <row r="6" customFormat="false" ht="15" hidden="false" customHeight="false" outlineLevel="0" collapsed="false">
      <c r="A6" s="5" t="s">
        <v>12</v>
      </c>
      <c r="B6" s="19" t="n">
        <v>500</v>
      </c>
      <c r="C6" s="5" t="s">
        <v>80</v>
      </c>
      <c r="D6" s="5" t="s">
        <v>81</v>
      </c>
      <c r="E6" s="5" t="s">
        <v>82</v>
      </c>
      <c r="F6" s="5" t="s">
        <v>83</v>
      </c>
    </row>
    <row r="7" customFormat="false" ht="15" hidden="false" customHeight="false" outlineLevel="0" collapsed="false">
      <c r="A7" s="5" t="s">
        <v>84</v>
      </c>
      <c r="B7" s="19" t="n">
        <v>25</v>
      </c>
      <c r="C7" s="5" t="s">
        <v>80</v>
      </c>
      <c r="D7" s="5" t="s">
        <v>85</v>
      </c>
      <c r="E7" s="5" t="s">
        <v>82</v>
      </c>
      <c r="F7" s="5" t="s">
        <v>83</v>
      </c>
    </row>
    <row r="8" customFormat="false" ht="15" hidden="false" customHeight="false" outlineLevel="0" collapsed="false">
      <c r="A8" s="5" t="s">
        <v>86</v>
      </c>
      <c r="B8" s="19" t="n">
        <v>25</v>
      </c>
      <c r="C8" s="5" t="s">
        <v>80</v>
      </c>
      <c r="D8" s="5" t="s">
        <v>87</v>
      </c>
      <c r="E8" s="5" t="s">
        <v>82</v>
      </c>
      <c r="F8" s="5" t="s">
        <v>88</v>
      </c>
    </row>
    <row r="9" customFormat="false" ht="15" hidden="false" customHeight="false" outlineLevel="0" collapsed="false">
      <c r="A9" s="5" t="s">
        <v>89</v>
      </c>
      <c r="B9" s="19" t="n">
        <v>100</v>
      </c>
      <c r="C9" s="5" t="s">
        <v>80</v>
      </c>
      <c r="D9" s="5" t="s">
        <v>90</v>
      </c>
      <c r="E9" s="5" t="s">
        <v>82</v>
      </c>
      <c r="F9" s="5" t="s">
        <v>91</v>
      </c>
    </row>
    <row r="10" customFormat="false" ht="15" hidden="false" customHeight="false" outlineLevel="0" collapsed="false">
      <c r="A10" s="5" t="s">
        <v>92</v>
      </c>
      <c r="B10" s="19" t="n">
        <v>5</v>
      </c>
      <c r="C10" s="5" t="s">
        <v>93</v>
      </c>
      <c r="D10" s="5" t="s">
        <v>94</v>
      </c>
      <c r="E10" s="5" t="s">
        <v>82</v>
      </c>
      <c r="F10" s="5" t="s">
        <v>95</v>
      </c>
    </row>
    <row r="11" customFormat="false" ht="15" hidden="false" customHeight="false" outlineLevel="0" collapsed="false">
      <c r="A11" s="5" t="s">
        <v>96</v>
      </c>
      <c r="B11" s="19" t="n">
        <v>250</v>
      </c>
      <c r="C11" s="5" t="s">
        <v>97</v>
      </c>
      <c r="D11" s="5" t="s">
        <v>98</v>
      </c>
      <c r="E11" s="5" t="s">
        <v>82</v>
      </c>
      <c r="F11" s="5" t="s">
        <v>99</v>
      </c>
    </row>
    <row r="12" customFormat="false" ht="15" hidden="false" customHeight="false" outlineLevel="0" collapsed="false">
      <c r="A12" s="5" t="s">
        <v>100</v>
      </c>
      <c r="B12" s="19" t="n">
        <v>5</v>
      </c>
      <c r="C12" s="5" t="s">
        <v>101</v>
      </c>
      <c r="D12" s="5" t="s">
        <v>102</v>
      </c>
      <c r="E12" s="5" t="s">
        <v>103</v>
      </c>
      <c r="F12" s="5"/>
    </row>
    <row r="13" customFormat="false" ht="15" hidden="false" customHeight="false" outlineLevel="0" collapsed="false">
      <c r="A13" s="5" t="s">
        <v>104</v>
      </c>
      <c r="B13" s="20" t="n">
        <v>0</v>
      </c>
      <c r="C13" s="5" t="s">
        <v>105</v>
      </c>
      <c r="D13" s="5" t="s">
        <v>106</v>
      </c>
      <c r="E13" s="5" t="s">
        <v>103</v>
      </c>
      <c r="F13" s="5" t="s">
        <v>107</v>
      </c>
    </row>
    <row r="15" customFormat="false" ht="15" hidden="false" customHeight="false" outlineLevel="0" collapsed="false">
      <c r="A15" s="15" t="s">
        <v>108</v>
      </c>
      <c r="B15" s="15"/>
      <c r="C15" s="15"/>
      <c r="D15" s="15"/>
      <c r="E15" s="15"/>
      <c r="F15" s="15"/>
    </row>
    <row r="16" customFormat="false" ht="30" hidden="false" customHeight="true" outlineLevel="0" collapsed="false">
      <c r="A16" s="2" t="s">
        <v>109</v>
      </c>
      <c r="B16" s="3" t="s">
        <v>110</v>
      </c>
      <c r="C16" s="3" t="s">
        <v>76</v>
      </c>
      <c r="D16" s="3" t="s">
        <v>111</v>
      </c>
      <c r="E16" s="3" t="s">
        <v>112</v>
      </c>
      <c r="F16" s="3" t="s">
        <v>113</v>
      </c>
    </row>
    <row r="17" customFormat="false" ht="23.85" hidden="false" customHeight="false" outlineLevel="0" collapsed="false">
      <c r="A17" s="5" t="s">
        <v>114</v>
      </c>
      <c r="B17" s="21" t="n">
        <v>14</v>
      </c>
      <c r="C17" s="5" t="s">
        <v>115</v>
      </c>
      <c r="D17" s="5" t="s">
        <v>116</v>
      </c>
      <c r="E17" s="5" t="s">
        <v>117</v>
      </c>
      <c r="F17" s="5" t="s">
        <v>118</v>
      </c>
    </row>
    <row r="18" customFormat="false" ht="23.85" hidden="false" customHeight="false" outlineLevel="0" collapsed="false">
      <c r="A18" s="5" t="s">
        <v>119</v>
      </c>
      <c r="B18" s="21" t="n">
        <v>24</v>
      </c>
      <c r="C18" s="5" t="s">
        <v>115</v>
      </c>
      <c r="D18" s="5" t="s">
        <v>120</v>
      </c>
      <c r="E18" s="5" t="s">
        <v>117</v>
      </c>
      <c r="F18" s="5" t="s">
        <v>118</v>
      </c>
    </row>
    <row r="19" customFormat="false" ht="15" hidden="false" customHeight="false" outlineLevel="0" collapsed="false">
      <c r="A19" s="5" t="s">
        <v>121</v>
      </c>
      <c r="B19" s="21" t="n">
        <v>75</v>
      </c>
      <c r="C19" s="5" t="s">
        <v>115</v>
      </c>
      <c r="D19" s="5" t="s">
        <v>84</v>
      </c>
      <c r="E19" s="5" t="s">
        <v>122</v>
      </c>
      <c r="F19" s="5" t="s">
        <v>123</v>
      </c>
    </row>
    <row r="20" customFormat="false" ht="15" hidden="false" customHeight="false" outlineLevel="0" collapsed="false">
      <c r="A20" s="5" t="s">
        <v>124</v>
      </c>
      <c r="B20" s="21" t="n">
        <v>42</v>
      </c>
      <c r="C20" s="5" t="s">
        <v>115</v>
      </c>
      <c r="D20" s="5" t="s">
        <v>86</v>
      </c>
      <c r="E20" s="5" t="s">
        <v>122</v>
      </c>
      <c r="F20" s="5" t="s">
        <v>125</v>
      </c>
    </row>
    <row r="21" customFormat="false" ht="15" hidden="false" customHeight="false" outlineLevel="0" collapsed="false">
      <c r="A21" s="5" t="s">
        <v>126</v>
      </c>
      <c r="B21" s="21" t="n">
        <v>15</v>
      </c>
      <c r="C21" s="5" t="s">
        <v>115</v>
      </c>
      <c r="D21" s="5" t="s">
        <v>12</v>
      </c>
      <c r="E21" s="5" t="s">
        <v>122</v>
      </c>
      <c r="F21" s="5" t="s">
        <v>125</v>
      </c>
    </row>
    <row r="22" customFormat="false" ht="23.85" hidden="false" customHeight="false" outlineLevel="0" collapsed="false">
      <c r="A22" s="5" t="s">
        <v>127</v>
      </c>
      <c r="B22" s="21" t="n">
        <v>115</v>
      </c>
      <c r="C22" s="5" t="s">
        <v>115</v>
      </c>
      <c r="D22" s="5" t="s">
        <v>128</v>
      </c>
      <c r="E22" s="5" t="s">
        <v>122</v>
      </c>
      <c r="F22" s="5" t="s">
        <v>129</v>
      </c>
    </row>
    <row r="23" customFormat="false" ht="15" hidden="false" customHeight="false" outlineLevel="0" collapsed="false">
      <c r="A23" s="5" t="s">
        <v>130</v>
      </c>
      <c r="B23" s="21" t="n">
        <v>70</v>
      </c>
      <c r="C23" s="5" t="s">
        <v>115</v>
      </c>
      <c r="D23" s="5" t="s">
        <v>131</v>
      </c>
      <c r="E23" s="5" t="s">
        <v>122</v>
      </c>
      <c r="F23" s="5" t="s">
        <v>132</v>
      </c>
    </row>
    <row r="24" customFormat="false" ht="15" hidden="false" customHeight="false" outlineLevel="0" collapsed="false">
      <c r="A24" s="5" t="s">
        <v>133</v>
      </c>
      <c r="B24" s="21" t="n">
        <v>35</v>
      </c>
      <c r="C24" s="5" t="s">
        <v>115</v>
      </c>
      <c r="D24" s="5" t="s">
        <v>134</v>
      </c>
      <c r="E24" s="5" t="s">
        <v>122</v>
      </c>
      <c r="F24" s="5" t="s">
        <v>135</v>
      </c>
    </row>
    <row r="25" customFormat="false" ht="15" hidden="false" customHeight="false" outlineLevel="0" collapsed="false">
      <c r="A25" s="5" t="s">
        <v>136</v>
      </c>
      <c r="B25" s="21" t="n">
        <v>24</v>
      </c>
      <c r="C25" s="5" t="s">
        <v>115</v>
      </c>
      <c r="D25" s="5" t="s">
        <v>137</v>
      </c>
      <c r="E25" s="5" t="s">
        <v>138</v>
      </c>
      <c r="F25" s="5" t="s">
        <v>139</v>
      </c>
    </row>
    <row r="26" customFormat="false" ht="15" hidden="false" customHeight="false" outlineLevel="0" collapsed="false">
      <c r="A26" s="5" t="s">
        <v>140</v>
      </c>
      <c r="B26" s="21" t="n">
        <v>40</v>
      </c>
      <c r="C26" s="5" t="s">
        <v>115</v>
      </c>
      <c r="D26" s="5" t="s">
        <v>141</v>
      </c>
      <c r="E26" s="5" t="s">
        <v>138</v>
      </c>
      <c r="F26" s="5" t="s">
        <v>142</v>
      </c>
    </row>
    <row r="27" customFormat="false" ht="15" hidden="false" customHeight="false" outlineLevel="0" collapsed="false">
      <c r="A27" s="5" t="s">
        <v>143</v>
      </c>
      <c r="B27" s="21" t="n">
        <v>3</v>
      </c>
      <c r="C27" s="5" t="s">
        <v>115</v>
      </c>
      <c r="D27" s="5" t="s">
        <v>12</v>
      </c>
      <c r="E27" s="5" t="s">
        <v>138</v>
      </c>
      <c r="F27" s="5" t="s">
        <v>125</v>
      </c>
    </row>
    <row r="28" customFormat="false" ht="15" hidden="false" customHeight="false" outlineLevel="0" collapsed="false">
      <c r="A28" s="5" t="s">
        <v>144</v>
      </c>
      <c r="B28" s="21" t="n">
        <v>20</v>
      </c>
      <c r="C28" s="5" t="s">
        <v>115</v>
      </c>
      <c r="D28" s="5" t="s">
        <v>145</v>
      </c>
      <c r="E28" s="5" t="s">
        <v>138</v>
      </c>
      <c r="F28" s="5" t="s">
        <v>125</v>
      </c>
    </row>
    <row r="29" customFormat="false" ht="15" hidden="false" customHeight="false" outlineLevel="0" collapsed="false">
      <c r="A29" s="5" t="s">
        <v>146</v>
      </c>
      <c r="B29" s="21" t="n">
        <v>250</v>
      </c>
      <c r="C29" s="5" t="s">
        <v>147</v>
      </c>
      <c r="D29" s="5" t="s">
        <v>148</v>
      </c>
      <c r="E29" s="5" t="s">
        <v>138</v>
      </c>
      <c r="F29" s="5" t="s">
        <v>125</v>
      </c>
    </row>
    <row r="31" customFormat="false" ht="15" hidden="false" customHeight="false" outlineLevel="0" collapsed="false">
      <c r="A31" s="15" t="s">
        <v>149</v>
      </c>
      <c r="B31" s="15"/>
      <c r="C31" s="15"/>
      <c r="D31" s="15"/>
      <c r="E31" s="15"/>
      <c r="F31" s="15"/>
    </row>
    <row r="32" customFormat="false" ht="30" hidden="false" customHeight="true" outlineLevel="0" collapsed="false">
      <c r="A32" s="2" t="s">
        <v>150</v>
      </c>
      <c r="B32" s="3" t="s">
        <v>2</v>
      </c>
      <c r="C32" s="3" t="s">
        <v>76</v>
      </c>
      <c r="D32" s="3" t="s">
        <v>111</v>
      </c>
      <c r="E32" s="3" t="s">
        <v>112</v>
      </c>
      <c r="F32" s="3" t="s">
        <v>113</v>
      </c>
    </row>
    <row r="33" customFormat="false" ht="23.85" hidden="false" customHeight="false" outlineLevel="0" collapsed="false">
      <c r="A33" s="5" t="s">
        <v>151</v>
      </c>
      <c r="B33" s="22" t="n">
        <v>8409.6</v>
      </c>
      <c r="C33" s="5" t="s">
        <v>152</v>
      </c>
      <c r="D33" s="5" t="s">
        <v>153</v>
      </c>
      <c r="E33" s="5" t="s">
        <v>154</v>
      </c>
      <c r="F33" s="5" t="s">
        <v>155</v>
      </c>
    </row>
    <row r="34" customFormat="false" ht="23.85" hidden="false" customHeight="false" outlineLevel="0" collapsed="false">
      <c r="A34" s="5" t="s">
        <v>156</v>
      </c>
      <c r="B34" s="22" t="n">
        <v>5002.67</v>
      </c>
      <c r="C34" s="5" t="s">
        <v>152</v>
      </c>
      <c r="D34" s="5" t="s">
        <v>157</v>
      </c>
      <c r="E34" s="5" t="s">
        <v>154</v>
      </c>
      <c r="F34" s="5" t="s">
        <v>158</v>
      </c>
    </row>
    <row r="35" customFormat="false" ht="23.85" hidden="false" customHeight="false" outlineLevel="0" collapsed="false">
      <c r="A35" s="5" t="s">
        <v>159</v>
      </c>
      <c r="B35" s="21" t="n">
        <v>4995</v>
      </c>
      <c r="C35" s="5" t="s">
        <v>152</v>
      </c>
      <c r="D35" s="5" t="s">
        <v>160</v>
      </c>
      <c r="E35" s="5" t="s">
        <v>161</v>
      </c>
      <c r="F35" s="5" t="s">
        <v>162</v>
      </c>
    </row>
    <row r="36" customFormat="false" ht="23.85" hidden="false" customHeight="false" outlineLevel="0" collapsed="false">
      <c r="A36" s="5" t="s">
        <v>29</v>
      </c>
      <c r="B36" s="21" t="n">
        <v>3</v>
      </c>
      <c r="C36" s="5" t="s">
        <v>163</v>
      </c>
      <c r="D36" s="5" t="s">
        <v>164</v>
      </c>
      <c r="E36" s="5" t="s">
        <v>165</v>
      </c>
      <c r="F36" s="5" t="s">
        <v>166</v>
      </c>
    </row>
    <row r="38" customFormat="false" ht="15" hidden="false" customHeight="false" outlineLevel="0" collapsed="false">
      <c r="A38" s="15" t="s">
        <v>167</v>
      </c>
      <c r="B38" s="15"/>
      <c r="C38" s="15"/>
      <c r="D38" s="15"/>
      <c r="E38" s="15"/>
      <c r="F38" s="15"/>
    </row>
    <row r="39" customFormat="false" ht="30" hidden="false" customHeight="true" outlineLevel="0" collapsed="false">
      <c r="A39" s="2" t="s">
        <v>150</v>
      </c>
      <c r="B39" s="3" t="s">
        <v>2</v>
      </c>
      <c r="C39" s="3" t="s">
        <v>76</v>
      </c>
      <c r="D39" s="3" t="s">
        <v>111</v>
      </c>
      <c r="E39" s="3" t="s">
        <v>168</v>
      </c>
      <c r="F39" s="3" t="s">
        <v>79</v>
      </c>
    </row>
    <row r="40" customFormat="false" ht="15" hidden="false" customHeight="false" outlineLevel="0" collapsed="false">
      <c r="A40" s="5" t="s">
        <v>169</v>
      </c>
      <c r="B40" s="21" t="n">
        <v>30000</v>
      </c>
      <c r="C40" s="5" t="s">
        <v>170</v>
      </c>
      <c r="D40" s="5" t="s">
        <v>171</v>
      </c>
      <c r="E40" s="5" t="s">
        <v>103</v>
      </c>
      <c r="F40" s="5" t="s">
        <v>172</v>
      </c>
    </row>
    <row r="41" customFormat="false" ht="15" hidden="false" customHeight="false" outlineLevel="0" collapsed="false">
      <c r="A41" s="5" t="s">
        <v>173</v>
      </c>
      <c r="B41" s="21" t="n">
        <v>6000</v>
      </c>
      <c r="C41" s="5" t="s">
        <v>170</v>
      </c>
      <c r="D41" s="5" t="s">
        <v>174</v>
      </c>
      <c r="E41" s="5" t="s">
        <v>103</v>
      </c>
      <c r="F41" s="5" t="s">
        <v>175</v>
      </c>
    </row>
    <row r="42" customFormat="false" ht="15" hidden="false" customHeight="false" outlineLevel="0" collapsed="false">
      <c r="A42" s="5" t="s">
        <v>176</v>
      </c>
      <c r="B42" s="21" t="n">
        <v>20000</v>
      </c>
      <c r="C42" s="5" t="s">
        <v>170</v>
      </c>
      <c r="D42" s="5" t="s">
        <v>67</v>
      </c>
      <c r="E42" s="5" t="s">
        <v>103</v>
      </c>
      <c r="F42" s="5" t="s">
        <v>177</v>
      </c>
    </row>
    <row r="43" customFormat="false" ht="15" hidden="false" customHeight="false" outlineLevel="0" collapsed="false">
      <c r="A43" s="5" t="s">
        <v>178</v>
      </c>
      <c r="B43" s="21" t="n">
        <v>25000</v>
      </c>
      <c r="C43" s="5" t="s">
        <v>170</v>
      </c>
      <c r="D43" s="5" t="s">
        <v>179</v>
      </c>
      <c r="E43" s="5" t="s">
        <v>103</v>
      </c>
      <c r="F43" s="5" t="s">
        <v>180</v>
      </c>
    </row>
    <row r="44" customFormat="false" ht="15" hidden="false" customHeight="false" outlineLevel="0" collapsed="false">
      <c r="A44" s="5" t="s">
        <v>181</v>
      </c>
      <c r="B44" s="21" t="n">
        <v>45000</v>
      </c>
      <c r="C44" s="5" t="s">
        <v>170</v>
      </c>
      <c r="D44" s="5" t="s">
        <v>171</v>
      </c>
      <c r="E44" s="5" t="s">
        <v>103</v>
      </c>
      <c r="F44" s="5" t="s">
        <v>182</v>
      </c>
    </row>
    <row r="45" customFormat="false" ht="15" hidden="false" customHeight="false" outlineLevel="0" collapsed="false">
      <c r="A45" s="5" t="s">
        <v>183</v>
      </c>
      <c r="B45" s="21" t="n">
        <v>15000</v>
      </c>
      <c r="C45" s="5" t="s">
        <v>170</v>
      </c>
      <c r="D45" s="5" t="s">
        <v>64</v>
      </c>
      <c r="E45" s="5" t="s">
        <v>103</v>
      </c>
      <c r="F45" s="5" t="s">
        <v>180</v>
      </c>
    </row>
    <row r="46" customFormat="false" ht="15" hidden="false" customHeight="false" outlineLevel="0" collapsed="false">
      <c r="A46" s="5" t="s">
        <v>184</v>
      </c>
      <c r="B46" s="21" t="n">
        <v>2500</v>
      </c>
      <c r="C46" s="5" t="s">
        <v>185</v>
      </c>
      <c r="D46" s="5" t="s">
        <v>67</v>
      </c>
      <c r="E46" s="5" t="s">
        <v>103</v>
      </c>
      <c r="F46" s="5" t="s">
        <v>186</v>
      </c>
    </row>
    <row r="47" customFormat="false" ht="15" hidden="false" customHeight="false" outlineLevel="0" collapsed="false">
      <c r="A47" s="5" t="s">
        <v>187</v>
      </c>
      <c r="B47" s="21" t="n">
        <v>2700</v>
      </c>
      <c r="C47" s="5" t="s">
        <v>185</v>
      </c>
      <c r="D47" s="5" t="s">
        <v>65</v>
      </c>
      <c r="E47" s="5" t="s">
        <v>103</v>
      </c>
      <c r="F47" s="5" t="s">
        <v>186</v>
      </c>
    </row>
    <row r="48" customFormat="false" ht="15" hidden="false" customHeight="false" outlineLevel="0" collapsed="false">
      <c r="A48" s="5" t="s">
        <v>188</v>
      </c>
      <c r="B48" s="21" t="n">
        <v>3200</v>
      </c>
      <c r="C48" s="5" t="s">
        <v>185</v>
      </c>
      <c r="D48" s="5" t="s">
        <v>64</v>
      </c>
      <c r="E48" s="5" t="s">
        <v>103</v>
      </c>
      <c r="F48" s="5" t="s">
        <v>186</v>
      </c>
    </row>
    <row r="49" customFormat="false" ht="15" hidden="false" customHeight="false" outlineLevel="0" collapsed="false">
      <c r="A49" s="5" t="s">
        <v>189</v>
      </c>
      <c r="B49" s="21" t="n">
        <v>30000</v>
      </c>
      <c r="C49" s="5" t="s">
        <v>190</v>
      </c>
      <c r="D49" s="5" t="s">
        <v>67</v>
      </c>
      <c r="E49" s="5" t="s">
        <v>103</v>
      </c>
      <c r="F49" s="5" t="s">
        <v>191</v>
      </c>
    </row>
    <row r="50" customFormat="false" ht="15" hidden="false" customHeight="false" outlineLevel="0" collapsed="false">
      <c r="A50" s="5" t="s">
        <v>192</v>
      </c>
      <c r="B50" s="21" t="n">
        <v>25000</v>
      </c>
      <c r="C50" s="5" t="s">
        <v>190</v>
      </c>
      <c r="D50" s="5" t="s">
        <v>65</v>
      </c>
      <c r="E50" s="5" t="s">
        <v>103</v>
      </c>
      <c r="F50" s="5" t="s">
        <v>191</v>
      </c>
    </row>
    <row r="51" customFormat="false" ht="15" hidden="false" customHeight="false" outlineLevel="0" collapsed="false">
      <c r="A51" s="5" t="s">
        <v>193</v>
      </c>
      <c r="B51" s="21" t="n">
        <v>50000</v>
      </c>
      <c r="C51" s="5" t="s">
        <v>190</v>
      </c>
      <c r="D51" s="5" t="s">
        <v>64</v>
      </c>
      <c r="E51" s="5" t="s">
        <v>103</v>
      </c>
      <c r="F51" s="5" t="s">
        <v>191</v>
      </c>
    </row>
    <row r="53" customFormat="false" ht="15" hidden="false" customHeight="false" outlineLevel="0" collapsed="false">
      <c r="A53" s="15" t="s">
        <v>194</v>
      </c>
      <c r="B53" s="15"/>
      <c r="C53" s="15"/>
      <c r="D53" s="15"/>
      <c r="E53" s="15"/>
      <c r="F53" s="15"/>
    </row>
    <row r="54" customFormat="false" ht="30" hidden="false" customHeight="true" outlineLevel="0" collapsed="false">
      <c r="A54" s="2" t="s">
        <v>75</v>
      </c>
      <c r="B54" s="3" t="s">
        <v>2</v>
      </c>
      <c r="C54" s="3" t="s">
        <v>76</v>
      </c>
      <c r="D54" s="3" t="s">
        <v>77</v>
      </c>
      <c r="E54" s="3" t="s">
        <v>168</v>
      </c>
      <c r="F54" s="3" t="s">
        <v>79</v>
      </c>
    </row>
    <row r="55" customFormat="false" ht="35.05" hidden="false" customHeight="false" outlineLevel="0" collapsed="false">
      <c r="A55" s="5" t="s">
        <v>195</v>
      </c>
      <c r="B55" s="23" t="n">
        <v>0.09</v>
      </c>
      <c r="C55" s="5" t="s">
        <v>196</v>
      </c>
      <c r="D55" s="5" t="s">
        <v>197</v>
      </c>
      <c r="E55" s="5" t="s">
        <v>198</v>
      </c>
      <c r="F55" s="5" t="s">
        <v>199</v>
      </c>
    </row>
    <row r="56" customFormat="false" ht="15" hidden="false" customHeight="false" outlineLevel="0" collapsed="false">
      <c r="A56" s="5" t="s">
        <v>200</v>
      </c>
      <c r="B56" s="23" t="n">
        <v>0.02</v>
      </c>
      <c r="C56" s="5" t="s">
        <v>196</v>
      </c>
      <c r="D56" s="5" t="s">
        <v>201</v>
      </c>
      <c r="E56" s="5" t="s">
        <v>103</v>
      </c>
      <c r="F56" s="5" t="s">
        <v>202</v>
      </c>
    </row>
    <row r="57" customFormat="false" ht="15" hidden="false" customHeight="false" outlineLevel="0" collapsed="false">
      <c r="A57" s="5" t="s">
        <v>203</v>
      </c>
      <c r="B57" s="20" t="n">
        <v>0.8</v>
      </c>
      <c r="C57" s="5" t="s">
        <v>105</v>
      </c>
      <c r="D57" s="5" t="s">
        <v>204</v>
      </c>
      <c r="E57" s="5" t="s">
        <v>103</v>
      </c>
      <c r="F57" s="5" t="s">
        <v>205</v>
      </c>
    </row>
    <row r="58" customFormat="false" ht="15" hidden="false" customHeight="false" outlineLevel="0" collapsed="false">
      <c r="A58" s="5" t="s">
        <v>206</v>
      </c>
      <c r="B58" s="20" t="n">
        <v>0.5</v>
      </c>
      <c r="C58" s="5" t="s">
        <v>105</v>
      </c>
      <c r="D58" s="5" t="s">
        <v>204</v>
      </c>
      <c r="E58" s="5" t="s">
        <v>103</v>
      </c>
      <c r="F58" s="5" t="s">
        <v>207</v>
      </c>
    </row>
    <row r="59" customFormat="false" ht="15" hidden="false" customHeight="false" outlineLevel="0" collapsed="false">
      <c r="A59" s="5" t="s">
        <v>208</v>
      </c>
      <c r="B59" s="21" t="n">
        <v>12000</v>
      </c>
      <c r="C59" s="5" t="s">
        <v>170</v>
      </c>
      <c r="D59" s="5" t="s">
        <v>209</v>
      </c>
      <c r="E59" s="5" t="s">
        <v>210</v>
      </c>
      <c r="F59" s="5" t="s">
        <v>211</v>
      </c>
    </row>
    <row r="60" customFormat="false" ht="15" hidden="false" customHeight="false" outlineLevel="0" collapsed="false">
      <c r="A60" s="5" t="s">
        <v>212</v>
      </c>
      <c r="B60" s="24" t="n">
        <v>0.75</v>
      </c>
      <c r="C60" s="5" t="s">
        <v>213</v>
      </c>
      <c r="D60" s="5" t="s">
        <v>214</v>
      </c>
      <c r="E60" s="5" t="s">
        <v>103</v>
      </c>
      <c r="F60" s="5" t="s">
        <v>215</v>
      </c>
    </row>
    <row r="61" customFormat="false" ht="23.85" hidden="false" customHeight="false" outlineLevel="0" collapsed="false">
      <c r="A61" s="5" t="s">
        <v>216</v>
      </c>
      <c r="B61" s="24" t="n">
        <v>0</v>
      </c>
      <c r="C61" s="5" t="s">
        <v>213</v>
      </c>
      <c r="D61" s="5" t="s">
        <v>214</v>
      </c>
      <c r="E61" s="5" t="s">
        <v>217</v>
      </c>
      <c r="F61" s="5" t="s">
        <v>218</v>
      </c>
    </row>
    <row r="62" customFormat="false" ht="15" hidden="false" customHeight="false" outlineLevel="0" collapsed="false">
      <c r="A62" s="5" t="s">
        <v>219</v>
      </c>
      <c r="B62" s="24" t="n">
        <v>1.15</v>
      </c>
      <c r="C62" s="5" t="s">
        <v>213</v>
      </c>
      <c r="D62" s="5" t="s">
        <v>220</v>
      </c>
      <c r="E62" s="5" t="s">
        <v>103</v>
      </c>
      <c r="F62" s="5"/>
    </row>
    <row r="63" customFormat="false" ht="15" hidden="false" customHeight="false" outlineLevel="0" collapsed="false">
      <c r="A63" s="5" t="s">
        <v>221</v>
      </c>
      <c r="B63" s="21" t="n">
        <v>10000</v>
      </c>
      <c r="C63" s="5" t="s">
        <v>170</v>
      </c>
      <c r="D63" s="5" t="s">
        <v>222</v>
      </c>
      <c r="E63" s="5" t="s">
        <v>210</v>
      </c>
      <c r="F63" s="5"/>
    </row>
    <row r="64" customFormat="false" ht="15" hidden="false" customHeight="false" outlineLevel="0" collapsed="false">
      <c r="A64" s="5" t="s">
        <v>223</v>
      </c>
      <c r="B64" s="21" t="n">
        <v>8000</v>
      </c>
      <c r="C64" s="5" t="s">
        <v>170</v>
      </c>
      <c r="D64" s="5" t="s">
        <v>224</v>
      </c>
      <c r="E64" s="5" t="s">
        <v>103</v>
      </c>
      <c r="F64" s="5" t="s">
        <v>225</v>
      </c>
    </row>
    <row r="65" customFormat="false" ht="15" hidden="false" customHeight="false" outlineLevel="0" collapsed="false">
      <c r="A65" s="5" t="s">
        <v>226</v>
      </c>
      <c r="B65" s="21" t="n">
        <v>12000</v>
      </c>
      <c r="C65" s="5" t="s">
        <v>170</v>
      </c>
      <c r="D65" s="5" t="s">
        <v>227</v>
      </c>
      <c r="E65" s="5" t="s">
        <v>103</v>
      </c>
      <c r="F65" s="5"/>
    </row>
    <row r="66" customFormat="false" ht="15" hidden="false" customHeight="false" outlineLevel="0" collapsed="false">
      <c r="A66" s="5" t="s">
        <v>228</v>
      </c>
      <c r="B66" s="19" t="n">
        <v>300</v>
      </c>
      <c r="C66" s="5" t="s">
        <v>229</v>
      </c>
      <c r="D66" s="5" t="s">
        <v>230</v>
      </c>
      <c r="E66" s="5" t="s">
        <v>103</v>
      </c>
      <c r="F66" s="5"/>
    </row>
    <row r="67" customFormat="false" ht="15" hidden="false" customHeight="false" outlineLevel="0" collapsed="false">
      <c r="A67" s="5" t="s">
        <v>231</v>
      </c>
      <c r="B67" s="19" t="n">
        <v>300</v>
      </c>
      <c r="C67" s="5" t="s">
        <v>229</v>
      </c>
      <c r="D67" s="5" t="s">
        <v>230</v>
      </c>
      <c r="E67" s="5" t="s">
        <v>103</v>
      </c>
      <c r="F67" s="5"/>
    </row>
    <row r="68" customFormat="false" ht="15" hidden="false" customHeight="false" outlineLevel="0" collapsed="false">
      <c r="A68" s="5" t="s">
        <v>232</v>
      </c>
      <c r="B68" s="19" t="n">
        <v>280</v>
      </c>
      <c r="C68" s="5" t="s">
        <v>229</v>
      </c>
      <c r="D68" s="5" t="s">
        <v>230</v>
      </c>
      <c r="E68" s="5" t="s">
        <v>103</v>
      </c>
      <c r="F68" s="5" t="s">
        <v>233</v>
      </c>
    </row>
  </sheetData>
  <mergeCells count="7">
    <mergeCell ref="A1:F1"/>
    <mergeCell ref="A2:F2"/>
    <mergeCell ref="A4:F4"/>
    <mergeCell ref="A15:F15"/>
    <mergeCell ref="A31:F31"/>
    <mergeCell ref="A38:F38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6" min="5" style="0" width="18"/>
    <col collapsed="false" customWidth="true" hidden="false" outlineLevel="0" max="7" min="7" style="0" width="42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1" t="s">
        <v>234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8" t="s">
        <v>235</v>
      </c>
      <c r="B2" s="18"/>
      <c r="C2" s="18"/>
      <c r="D2" s="18"/>
      <c r="E2" s="18"/>
      <c r="F2" s="18"/>
      <c r="G2" s="18"/>
      <c r="H2" s="18"/>
    </row>
    <row r="3" customFormat="false" ht="30" hidden="false" customHeight="true" outlineLevel="0" collapsed="false">
      <c r="A3" s="2" t="s">
        <v>236</v>
      </c>
      <c r="B3" s="3" t="s">
        <v>237</v>
      </c>
      <c r="C3" s="3" t="s">
        <v>238</v>
      </c>
      <c r="D3" s="3" t="s">
        <v>239</v>
      </c>
      <c r="E3" s="3" t="s">
        <v>240</v>
      </c>
      <c r="F3" s="3" t="s">
        <v>241</v>
      </c>
      <c r="G3" s="3" t="s">
        <v>242</v>
      </c>
      <c r="H3" s="3" t="s">
        <v>79</v>
      </c>
    </row>
    <row r="4" customFormat="false" ht="15" hidden="false" customHeight="false" outlineLevel="0" collapsed="false">
      <c r="A4" s="5" t="s">
        <v>243</v>
      </c>
      <c r="B4" s="8" t="n">
        <f aca="false">Inputs!$B$7*Inputs!$B$17*12</f>
        <v>4200</v>
      </c>
      <c r="C4" s="8" t="n">
        <f aca="false">Inputs!$B$8*Inputs!$B$17*12</f>
        <v>4200</v>
      </c>
      <c r="D4" s="8" t="n">
        <f aca="false">Inputs!$B$6*Inputs!$B$17*12</f>
        <v>84000</v>
      </c>
      <c r="E4" s="8" t="n">
        <f aca="false">0</f>
        <v>0</v>
      </c>
      <c r="F4" s="7" t="n">
        <f aca="false">SUM(B4:E4)</f>
        <v>92400</v>
      </c>
      <c r="G4" s="5" t="s">
        <v>244</v>
      </c>
      <c r="H4" s="5" t="s">
        <v>245</v>
      </c>
    </row>
    <row r="5" customFormat="false" ht="15" hidden="false" customHeight="false" outlineLevel="0" collapsed="false">
      <c r="A5" s="5" t="s">
        <v>246</v>
      </c>
      <c r="B5" s="8" t="n">
        <f aca="false">Inputs!$B$7*Inputs!$B$18*12</f>
        <v>7200</v>
      </c>
      <c r="C5" s="8" t="n">
        <f aca="false">Inputs!$B$8*Inputs!$B$18*12</f>
        <v>7200</v>
      </c>
      <c r="D5" s="8" t="n">
        <f aca="false">Inputs!$B$6*Inputs!$B$18*12</f>
        <v>144000</v>
      </c>
      <c r="E5" s="8" t="n">
        <f aca="false">0</f>
        <v>0</v>
      </c>
      <c r="F5" s="7" t="n">
        <f aca="false">SUM(B5:E5)</f>
        <v>158400</v>
      </c>
      <c r="G5" s="5" t="s">
        <v>247</v>
      </c>
      <c r="H5" s="5" t="s">
        <v>248</v>
      </c>
    </row>
    <row r="6" customFormat="false" ht="23.85" hidden="false" customHeight="false" outlineLevel="0" collapsed="false">
      <c r="A6" s="25" t="s">
        <v>249</v>
      </c>
      <c r="B6" s="12" t="n">
        <f aca="false">Inputs!$B$7*Inputs!$B$17*12</f>
        <v>4200</v>
      </c>
      <c r="C6" s="12" t="n">
        <f aca="false">Inputs!$B$8*Inputs!$B$17*12</f>
        <v>4200</v>
      </c>
      <c r="D6" s="12" t="n">
        <f aca="false">0</f>
        <v>0</v>
      </c>
      <c r="E6" s="12" t="n">
        <f aca="false">Inputs!$B$34*12</f>
        <v>60032.04</v>
      </c>
      <c r="F6" s="11" t="n">
        <f aca="false">SUM(B6:E6)</f>
        <v>68432.04</v>
      </c>
      <c r="G6" s="10" t="s">
        <v>250</v>
      </c>
      <c r="H6" s="10" t="s">
        <v>251</v>
      </c>
    </row>
    <row r="7" customFormat="false" ht="23.85" hidden="false" customHeight="false" outlineLevel="0" collapsed="false">
      <c r="A7" s="5" t="s">
        <v>252</v>
      </c>
      <c r="B7" s="8" t="n">
        <f aca="false">Inputs!$B$7*Inputs!$B$17*12</f>
        <v>4200</v>
      </c>
      <c r="C7" s="8" t="n">
        <f aca="false">Inputs!$B$8*Inputs!$B$17*12</f>
        <v>4200</v>
      </c>
      <c r="D7" s="8" t="n">
        <f aca="false">0</f>
        <v>0</v>
      </c>
      <c r="E7" s="8" t="n">
        <f aca="false">Inputs!$B$33*12</f>
        <v>100915.2</v>
      </c>
      <c r="F7" s="7" t="n">
        <f aca="false">SUM(B7:E7)</f>
        <v>109315.2</v>
      </c>
      <c r="G7" s="5" t="s">
        <v>250</v>
      </c>
      <c r="H7" s="5" t="s">
        <v>253</v>
      </c>
    </row>
    <row r="8" customFormat="false" ht="15" hidden="false" customHeight="false" outlineLevel="0" collapsed="false">
      <c r="A8" s="5" t="s">
        <v>254</v>
      </c>
      <c r="B8" s="8" t="n">
        <f aca="false">Inputs!$B$7*Inputs!$B$17*12</f>
        <v>4200</v>
      </c>
      <c r="C8" s="8" t="n">
        <f aca="false">Inputs!$B$8*Inputs!$B$17*12</f>
        <v>4200</v>
      </c>
      <c r="D8" s="8" t="n">
        <f aca="false">0</f>
        <v>0</v>
      </c>
      <c r="E8" s="8" t="n">
        <f aca="false">Inputs!$B$35*12</f>
        <v>59940</v>
      </c>
      <c r="F8" s="7" t="n">
        <f aca="false">SUM(B8:E8)</f>
        <v>68340</v>
      </c>
      <c r="G8" s="5" t="s">
        <v>255</v>
      </c>
      <c r="H8" s="5" t="s">
        <v>256</v>
      </c>
    </row>
    <row r="9" customFormat="false" ht="15" hidden="false" customHeight="false" outlineLevel="0" collapsed="false">
      <c r="A9" s="5" t="s">
        <v>257</v>
      </c>
      <c r="B9" s="8" t="n">
        <f aca="false">Inputs!$B$7*Inputs!$B$19*12</f>
        <v>22500</v>
      </c>
      <c r="C9" s="8" t="n">
        <f aca="false">Inputs!$B$8*Inputs!$B$20*12</f>
        <v>12600</v>
      </c>
      <c r="D9" s="8" t="n">
        <f aca="false">Inputs!$B$6*Inputs!$B$21*12</f>
        <v>90000</v>
      </c>
      <c r="E9" s="8" t="n">
        <f aca="false">0</f>
        <v>0</v>
      </c>
      <c r="F9" s="7" t="n">
        <f aca="false">SUM(B9:E9)</f>
        <v>125100</v>
      </c>
      <c r="G9" s="5" t="s">
        <v>258</v>
      </c>
      <c r="H9" s="5" t="s">
        <v>259</v>
      </c>
    </row>
    <row r="10" customFormat="false" ht="15" hidden="false" customHeight="false" outlineLevel="0" collapsed="false">
      <c r="A10" s="5" t="s">
        <v>260</v>
      </c>
      <c r="B10" s="8" t="n">
        <f aca="false">Inputs!$B$7*Inputs!$B$22*12</f>
        <v>34500</v>
      </c>
      <c r="C10" s="8" t="n">
        <f aca="false">Inputs!$B$8*Inputs!$B$23*12</f>
        <v>21000</v>
      </c>
      <c r="D10" s="8" t="n">
        <f aca="false">Inputs!$B$6*Inputs!$B$24*12</f>
        <v>210000</v>
      </c>
      <c r="E10" s="8" t="n">
        <f aca="false">0</f>
        <v>0</v>
      </c>
      <c r="F10" s="7" t="n">
        <f aca="false">SUM(B10:E10)</f>
        <v>265500</v>
      </c>
      <c r="G10" s="5" t="s">
        <v>261</v>
      </c>
      <c r="H10" s="5" t="s">
        <v>262</v>
      </c>
    </row>
    <row r="11" customFormat="false" ht="15" hidden="false" customHeight="false" outlineLevel="0" collapsed="false">
      <c r="A11" s="5" t="s">
        <v>263</v>
      </c>
      <c r="B11" s="8" t="n">
        <f aca="false">Inputs!$B$7*Inputs!$B$25*12</f>
        <v>7200</v>
      </c>
      <c r="C11" s="8" t="n">
        <f aca="false">Inputs!$B$8*Inputs!$B$25*12</f>
        <v>7200</v>
      </c>
      <c r="D11" s="8" t="n">
        <f aca="false">Inputs!$B$6*Inputs!$B$27*12</f>
        <v>18000</v>
      </c>
      <c r="E11" s="8" t="n">
        <f aca="false">0</f>
        <v>0</v>
      </c>
      <c r="F11" s="7" t="n">
        <f aca="false">SUM(B11:E11)</f>
        <v>32400</v>
      </c>
      <c r="G11" s="5" t="s">
        <v>264</v>
      </c>
      <c r="H11" s="5" t="s">
        <v>265</v>
      </c>
    </row>
    <row r="12" customFormat="false" ht="15" hidden="false" customHeight="false" outlineLevel="0" collapsed="false">
      <c r="A12" s="5" t="s">
        <v>266</v>
      </c>
      <c r="B12" s="8" t="n">
        <f aca="false">Inputs!$B$7*Inputs!$B$26*12</f>
        <v>12000</v>
      </c>
      <c r="C12" s="8" t="n">
        <f aca="false">Inputs!$B$8*Inputs!$B$26*12</f>
        <v>12000</v>
      </c>
      <c r="D12" s="8" t="n">
        <f aca="false">Inputs!$B$6*Inputs!$B$27*12</f>
        <v>18000</v>
      </c>
      <c r="E12" s="8" t="n">
        <f aca="false">Inputs!$B$29*12</f>
        <v>3000</v>
      </c>
      <c r="F12" s="7" t="n">
        <f aca="false">SUM(B12:E12)</f>
        <v>45000</v>
      </c>
      <c r="G12" s="5" t="s">
        <v>267</v>
      </c>
      <c r="H12" s="5" t="s">
        <v>268</v>
      </c>
    </row>
    <row r="13" customFormat="false" ht="15" hidden="false" customHeight="false" outlineLevel="0" collapsed="false">
      <c r="A13" s="5" t="s">
        <v>269</v>
      </c>
      <c r="B13" s="8" t="n">
        <f aca="false">Inputs!$B$7*Inputs!$B$26*12</f>
        <v>12000</v>
      </c>
      <c r="C13" s="8" t="n">
        <f aca="false">Inputs!$B$8*Inputs!$B$26*12</f>
        <v>12000</v>
      </c>
      <c r="D13" s="8" t="n">
        <f aca="false">Inputs!$B$6*Inputs!$B$28*12</f>
        <v>120000</v>
      </c>
      <c r="E13" s="8" t="n">
        <f aca="false">Inputs!$B$29*12</f>
        <v>3000</v>
      </c>
      <c r="F13" s="7" t="n">
        <f aca="false">SUM(B13:E13)</f>
        <v>147000</v>
      </c>
      <c r="G13" s="5" t="s">
        <v>270</v>
      </c>
      <c r="H13" s="5" t="s">
        <v>271</v>
      </c>
    </row>
    <row r="15" customFormat="false" ht="15" hidden="false" customHeight="false" outlineLevel="0" collapsed="false">
      <c r="A15" s="15" t="s">
        <v>272</v>
      </c>
      <c r="B15" s="15"/>
      <c r="C15" s="15"/>
      <c r="D15" s="15"/>
      <c r="E15" s="15"/>
      <c r="F15" s="15"/>
      <c r="G15" s="15"/>
      <c r="H15" s="15"/>
    </row>
    <row r="16" customFormat="false" ht="30" hidden="false" customHeight="true" outlineLevel="0" collapsed="false">
      <c r="A16" s="2" t="s">
        <v>273</v>
      </c>
      <c r="B16" s="3" t="s">
        <v>2</v>
      </c>
      <c r="C16" s="3" t="s">
        <v>76</v>
      </c>
      <c r="D16" s="3"/>
      <c r="E16" s="3"/>
      <c r="F16" s="3"/>
      <c r="G16" s="3" t="s">
        <v>274</v>
      </c>
      <c r="H16" s="3"/>
    </row>
    <row r="17" customFormat="false" ht="15" hidden="false" customHeight="true" outlineLevel="0" collapsed="false">
      <c r="A17" s="5" t="s">
        <v>275</v>
      </c>
      <c r="B17" s="26" t="n">
        <f aca="false">Inputs!$B$34*12/(Inputs!$B$17*12)</f>
        <v>357.333571428571</v>
      </c>
      <c r="C17" s="5" t="s">
        <v>276</v>
      </c>
      <c r="G17" s="17" t="s">
        <v>277</v>
      </c>
      <c r="H17" s="17"/>
    </row>
    <row r="18" customFormat="false" ht="15" hidden="false" customHeight="true" outlineLevel="0" collapsed="false">
      <c r="A18" s="5" t="s">
        <v>278</v>
      </c>
      <c r="B18" s="26" t="n">
        <f aca="false">Inputs!$B$33*12/(Inputs!$B$17*12)</f>
        <v>600.685714285714</v>
      </c>
      <c r="C18" s="5" t="s">
        <v>276</v>
      </c>
      <c r="G18" s="17" t="s">
        <v>279</v>
      </c>
      <c r="H18" s="17"/>
    </row>
    <row r="19" customFormat="false" ht="15" hidden="false" customHeight="true" outlineLevel="0" collapsed="false">
      <c r="A19" s="5" t="s">
        <v>280</v>
      </c>
      <c r="B19" s="26" t="n">
        <f aca="false">(Inputs!$B$34*12+(Inputs!$B$7+Inputs!$B$8)*Inputs!$B$17*12)/(Inputs!$B$18*12)</f>
        <v>237.61125</v>
      </c>
      <c r="C19" s="5" t="s">
        <v>281</v>
      </c>
      <c r="G19" s="17" t="s">
        <v>282</v>
      </c>
      <c r="H19" s="17"/>
    </row>
    <row r="20" customFormat="false" ht="15" hidden="false" customHeight="true" outlineLevel="0" collapsed="false">
      <c r="A20" s="5" t="s">
        <v>283</v>
      </c>
      <c r="B20" s="7" t="n">
        <f aca="false">F10-F9</f>
        <v>140400</v>
      </c>
      <c r="C20" s="5" t="s">
        <v>170</v>
      </c>
      <c r="G20" s="17" t="s">
        <v>284</v>
      </c>
      <c r="H20" s="17"/>
    </row>
    <row r="21" customFormat="false" ht="15" hidden="false" customHeight="true" outlineLevel="0" collapsed="false">
      <c r="A21" s="5" t="s">
        <v>285</v>
      </c>
      <c r="B21" s="7" t="n">
        <f aca="false">F12-F11</f>
        <v>12600</v>
      </c>
      <c r="C21" s="5" t="s">
        <v>170</v>
      </c>
      <c r="G21" s="17" t="s">
        <v>286</v>
      </c>
      <c r="H21" s="17"/>
    </row>
  </sheetData>
  <mergeCells count="8">
    <mergeCell ref="A1:H1"/>
    <mergeCell ref="A2:H2"/>
    <mergeCell ref="A15:H15"/>
    <mergeCell ref="G17:H17"/>
    <mergeCell ref="G18:H18"/>
    <mergeCell ref="G19:H19"/>
    <mergeCell ref="G20:H20"/>
    <mergeCell ref="G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7" min="3" style="0" width="15"/>
    <col collapsed="false" customWidth="true" hidden="false" outlineLevel="0" max="8" min="8" style="0" width="17"/>
    <col collapsed="false" customWidth="true" hidden="false" outlineLevel="0" max="9" min="9" style="0" width="42"/>
    <col collapsed="false" customWidth="true" hidden="false" outlineLevel="0" max="10" min="10" style="0" width="34"/>
  </cols>
  <sheetData>
    <row r="1" customFormat="false" ht="25.5" hidden="false" customHeight="true" outlineLevel="0" collapsed="false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8" t="s">
        <v>288</v>
      </c>
      <c r="B2" s="18"/>
      <c r="C2" s="18"/>
      <c r="D2" s="18"/>
      <c r="E2" s="18"/>
      <c r="F2" s="18"/>
      <c r="G2" s="18"/>
      <c r="H2" s="18"/>
      <c r="I2" s="18"/>
      <c r="J2" s="18"/>
    </row>
    <row r="3" customFormat="false" ht="30" hidden="false" customHeight="true" outlineLevel="0" collapsed="false">
      <c r="A3" s="2" t="s">
        <v>4</v>
      </c>
      <c r="B3" s="3" t="s">
        <v>289</v>
      </c>
      <c r="C3" s="3" t="s">
        <v>290</v>
      </c>
      <c r="D3" s="3" t="s">
        <v>291</v>
      </c>
      <c r="E3" s="3" t="s">
        <v>292</v>
      </c>
      <c r="F3" s="3" t="s">
        <v>293</v>
      </c>
      <c r="G3" s="3" t="s">
        <v>294</v>
      </c>
      <c r="H3" s="3" t="s">
        <v>295</v>
      </c>
      <c r="I3" s="3" t="s">
        <v>296</v>
      </c>
      <c r="J3" s="3" t="s">
        <v>297</v>
      </c>
    </row>
    <row r="4" customFormat="false" ht="23.85" hidden="false" customHeight="false" outlineLevel="0" collapsed="false">
      <c r="A4" s="5" t="s">
        <v>14</v>
      </c>
      <c r="B4" s="27" t="s">
        <v>298</v>
      </c>
      <c r="C4" s="8" t="n">
        <f aca="false">Inputs!$B$10*1000*12*Inputs!$B$55</f>
        <v>5400</v>
      </c>
      <c r="D4" s="8" t="n">
        <f aca="false">Inputs!$B$59*1</f>
        <v>12000</v>
      </c>
      <c r="E4" s="8" t="n">
        <f aca="false">Inputs!$B$41</f>
        <v>6000</v>
      </c>
      <c r="F4" s="8" t="n">
        <f aca="false">Inputs!$B$42+Inputs!$B$63</f>
        <v>30000</v>
      </c>
      <c r="G4" s="8" t="n">
        <f aca="false">Inputs!$B$66*12*Inputs!$B$36</f>
        <v>10800</v>
      </c>
      <c r="H4" s="7" t="n">
        <f aca="false">SUM(C4:G4)</f>
        <v>64200</v>
      </c>
      <c r="I4" s="5" t="s">
        <v>299</v>
      </c>
      <c r="J4" s="5" t="s">
        <v>300</v>
      </c>
    </row>
    <row r="5" customFormat="false" ht="15" hidden="false" customHeight="false" outlineLevel="0" collapsed="false">
      <c r="A5" s="5" t="s">
        <v>47</v>
      </c>
      <c r="B5" s="28" t="s">
        <v>301</v>
      </c>
      <c r="C5" s="8" t="n">
        <f aca="false">0</f>
        <v>0</v>
      </c>
      <c r="D5" s="8" t="n">
        <f aca="false">0</f>
        <v>0</v>
      </c>
      <c r="E5" s="8" t="n">
        <f aca="false">0</f>
        <v>0</v>
      </c>
      <c r="F5" s="8" t="n">
        <f aca="false">Inputs!$B$42</f>
        <v>20000</v>
      </c>
      <c r="G5" s="8" t="n">
        <f aca="false">Inputs!$B$66*12*Inputs!$B$36</f>
        <v>10800</v>
      </c>
      <c r="H5" s="7" t="n">
        <f aca="false">SUM(C5:G5)</f>
        <v>30800</v>
      </c>
      <c r="I5" s="5" t="s">
        <v>302</v>
      </c>
      <c r="J5" s="5" t="s">
        <v>303</v>
      </c>
    </row>
    <row r="6" customFormat="false" ht="15" hidden="false" customHeight="false" outlineLevel="0" collapsed="false">
      <c r="A6" s="5" t="s">
        <v>30</v>
      </c>
      <c r="B6" s="28" t="s">
        <v>304</v>
      </c>
      <c r="C6" s="8" t="n">
        <f aca="false">Inputs!$B$10*1000*12*Inputs!$B$55*Inputs!$B$61</f>
        <v>0</v>
      </c>
      <c r="D6" s="8" t="n">
        <f aca="false">Inputs!$B$59*Inputs!$B$61*1</f>
        <v>0</v>
      </c>
      <c r="E6" s="8" t="n">
        <f aca="false">0</f>
        <v>0</v>
      </c>
      <c r="F6" s="8" t="n">
        <f aca="false">Inputs!$B$43+IF(Inputs!$B$61&gt;0,Inputs!$B$64,0)</f>
        <v>25000</v>
      </c>
      <c r="G6" s="8" t="n">
        <f aca="false">Inputs!$B$67*12*Inputs!$B$36</f>
        <v>10800</v>
      </c>
      <c r="H6" s="7" t="n">
        <f aca="false">SUM(C6:G6)</f>
        <v>35800</v>
      </c>
      <c r="I6" s="5" t="s">
        <v>305</v>
      </c>
      <c r="J6" s="5" t="s">
        <v>306</v>
      </c>
    </row>
    <row r="7" customFormat="false" ht="15" hidden="false" customHeight="false" outlineLevel="0" collapsed="false">
      <c r="A7" s="5" t="s">
        <v>53</v>
      </c>
      <c r="B7" s="27" t="s">
        <v>298</v>
      </c>
      <c r="C7" s="8" t="n">
        <f aca="false">Inputs!$B$10*1000*12*Inputs!$B$55*Inputs!$B$60</f>
        <v>4050</v>
      </c>
      <c r="D7" s="8" t="n">
        <f aca="false">Inputs!$B$59*Inputs!$B$60*1</f>
        <v>9000</v>
      </c>
      <c r="E7" s="8" t="n">
        <f aca="false">0</f>
        <v>0</v>
      </c>
      <c r="F7" s="8" t="n">
        <f aca="false">Inputs!$B$43+IF(Inputs!$B$60&gt;0,Inputs!$B$64,0)</f>
        <v>33000</v>
      </c>
      <c r="G7" s="8" t="n">
        <f aca="false">Inputs!$B$67*12*Inputs!$B$36</f>
        <v>10800</v>
      </c>
      <c r="H7" s="7" t="n">
        <f aca="false">SUM(C7:G7)</f>
        <v>56850</v>
      </c>
      <c r="I7" s="5" t="s">
        <v>307</v>
      </c>
      <c r="J7" s="5" t="s">
        <v>308</v>
      </c>
    </row>
    <row r="8" customFormat="false" ht="15" hidden="false" customHeight="false" outlineLevel="0" collapsed="false">
      <c r="A8" s="5" t="s">
        <v>36</v>
      </c>
      <c r="B8" s="28" t="s">
        <v>301</v>
      </c>
      <c r="C8" s="8" t="n">
        <f aca="false">0</f>
        <v>0</v>
      </c>
      <c r="D8" s="8" t="n">
        <f aca="false">0</f>
        <v>0</v>
      </c>
      <c r="E8" s="8" t="n">
        <f aca="false">Inputs!$B$40</f>
        <v>30000</v>
      </c>
      <c r="F8" s="8" t="n">
        <f aca="false">Inputs!$B$44</f>
        <v>45000</v>
      </c>
      <c r="G8" s="8" t="n">
        <f aca="false">Inputs!$B$67*12*Inputs!$B$36</f>
        <v>10800</v>
      </c>
      <c r="H8" s="7" t="n">
        <f aca="false">SUM(C8:G8)</f>
        <v>85800</v>
      </c>
      <c r="I8" s="5" t="s">
        <v>309</v>
      </c>
      <c r="J8" s="5" t="s">
        <v>310</v>
      </c>
    </row>
    <row r="9" customFormat="false" ht="15" hidden="false" customHeight="false" outlineLevel="0" collapsed="false">
      <c r="A9" s="5" t="s">
        <v>55</v>
      </c>
      <c r="B9" s="28" t="s">
        <v>301</v>
      </c>
      <c r="C9" s="8" t="n">
        <f aca="false">0</f>
        <v>0</v>
      </c>
      <c r="D9" s="8" t="n">
        <f aca="false">0</f>
        <v>0</v>
      </c>
      <c r="E9" s="8" t="n">
        <f aca="false">Inputs!$B$40</f>
        <v>30000</v>
      </c>
      <c r="F9" s="8" t="n">
        <f aca="false">Inputs!$B$44</f>
        <v>45000</v>
      </c>
      <c r="G9" s="8" t="n">
        <f aca="false">Inputs!$B$67*12*Inputs!$B$36</f>
        <v>10800</v>
      </c>
      <c r="H9" s="7" t="n">
        <f aca="false">SUM(C9:G9)</f>
        <v>85800</v>
      </c>
      <c r="I9" s="5" t="s">
        <v>309</v>
      </c>
      <c r="J9" s="5" t="s">
        <v>311</v>
      </c>
    </row>
    <row r="10" customFormat="false" ht="15" hidden="false" customHeight="false" outlineLevel="0" collapsed="false">
      <c r="A10" s="5" t="s">
        <v>39</v>
      </c>
      <c r="B10" s="28" t="s">
        <v>301</v>
      </c>
      <c r="C10" s="8" t="n">
        <f aca="false">0</f>
        <v>0</v>
      </c>
      <c r="D10" s="8" t="n">
        <f aca="false">0</f>
        <v>0</v>
      </c>
      <c r="E10" s="8" t="n">
        <f aca="false">0</f>
        <v>0</v>
      </c>
      <c r="F10" s="8" t="n">
        <f aca="false">Inputs!$B$45</f>
        <v>15000</v>
      </c>
      <c r="G10" s="8" t="n">
        <f aca="false">Inputs!$B$68*12*Inputs!$B$36</f>
        <v>10080</v>
      </c>
      <c r="H10" s="7" t="n">
        <f aca="false">SUM(C10:G10)</f>
        <v>25080</v>
      </c>
      <c r="I10" s="5" t="s">
        <v>312</v>
      </c>
      <c r="J10" s="5" t="s">
        <v>313</v>
      </c>
    </row>
    <row r="11" customFormat="false" ht="15" hidden="false" customHeight="false" outlineLevel="0" collapsed="false">
      <c r="A11" s="5" t="s">
        <v>56</v>
      </c>
      <c r="B11" s="27" t="s">
        <v>298</v>
      </c>
      <c r="C11" s="8" t="n">
        <f aca="false">Inputs!$B$10*1000*12*Inputs!$B$55*Inputs!$B$62</f>
        <v>6210</v>
      </c>
      <c r="D11" s="8" t="n">
        <f aca="false">Inputs!$B$59*Inputs!$B$62*1</f>
        <v>13800</v>
      </c>
      <c r="E11" s="8" t="n">
        <f aca="false">0</f>
        <v>0</v>
      </c>
      <c r="F11" s="8" t="n">
        <f aca="false">Inputs!$B$45+Inputs!$B$65</f>
        <v>27000</v>
      </c>
      <c r="G11" s="8" t="n">
        <f aca="false">Inputs!$B$68*12*Inputs!$B$36</f>
        <v>10080</v>
      </c>
      <c r="H11" s="7" t="n">
        <f aca="false">SUM(C11:G11)</f>
        <v>57090</v>
      </c>
      <c r="I11" s="5" t="s">
        <v>307</v>
      </c>
      <c r="J11" s="5" t="s">
        <v>314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38"/>
  </cols>
  <sheetData>
    <row r="1" customFormat="false" ht="25.5" hidden="false" customHeight="true" outlineLevel="0" collapsed="false">
      <c r="A1" s="1" t="s">
        <v>315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18" t="s">
        <v>316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customFormat="false" ht="30" hidden="false" customHeight="true" outlineLevel="0" collapsed="false">
      <c r="A3" s="2" t="s">
        <v>4</v>
      </c>
      <c r="B3" s="3" t="s">
        <v>5</v>
      </c>
      <c r="C3" s="3" t="s">
        <v>317</v>
      </c>
      <c r="D3" s="3" t="s">
        <v>318</v>
      </c>
      <c r="E3" s="3" t="s">
        <v>319</v>
      </c>
      <c r="F3" s="3" t="s">
        <v>320</v>
      </c>
      <c r="G3" s="3" t="s">
        <v>321</v>
      </c>
      <c r="H3" s="3" t="s">
        <v>322</v>
      </c>
      <c r="I3" s="3" t="s">
        <v>323</v>
      </c>
      <c r="J3" s="3" t="s">
        <v>324</v>
      </c>
      <c r="K3" s="3" t="s">
        <v>325</v>
      </c>
      <c r="L3" s="3" t="s">
        <v>8</v>
      </c>
      <c r="M3" s="3" t="s">
        <v>9</v>
      </c>
      <c r="N3" s="3" t="s">
        <v>10</v>
      </c>
    </row>
    <row r="4" customFormat="false" ht="15" hidden="false" customHeight="false" outlineLevel="0" collapsed="false">
      <c r="A4" s="29" t="s">
        <v>326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15" hidden="false" customHeight="false" outlineLevel="0" collapsed="false">
      <c r="A5" s="5" t="s">
        <v>14</v>
      </c>
      <c r="B5" s="5" t="s">
        <v>15</v>
      </c>
      <c r="C5" s="8" t="n">
        <f aca="false">'License Calculator'!F4</f>
        <v>92400</v>
      </c>
      <c r="D5" s="8" t="n">
        <f aca="false">'Architecture Costs'!H4</f>
        <v>64200</v>
      </c>
      <c r="E5" s="8" t="n">
        <f aca="false">Inputs!$B$11*Inputs!$B$46</f>
        <v>625000</v>
      </c>
      <c r="F5" s="8" t="n">
        <f aca="false">Inputs!$B$49</f>
        <v>30000</v>
      </c>
      <c r="G5" s="8" t="n">
        <f aca="false">SUM(C5:F5)</f>
        <v>811600</v>
      </c>
      <c r="H5" s="8" t="n">
        <f aca="false">IF(Inputs!$B$13=0,(C5+D5)*(Inputs!$B$12-1),(C5+D5)*(((1+Inputs!$B$13)^Inputs!$B$12-(1+Inputs!$B$13))/Inputs!$B$13))</f>
        <v>626400</v>
      </c>
      <c r="I5" s="7" t="n">
        <f aca="false">G5+H5</f>
        <v>1438000</v>
      </c>
      <c r="J5" s="8" t="n">
        <f aca="false">I5/Inputs!$B$12</f>
        <v>287600</v>
      </c>
      <c r="K5" s="8" t="n">
        <f aca="false">I5/Inputs!$B$12/Inputs!$B$6</f>
        <v>575.2</v>
      </c>
      <c r="L5" s="9" t="n">
        <f aca="false">RANK(I5,$I$5:$I$25,1)</f>
        <v>11</v>
      </c>
      <c r="M5" s="9" t="n">
        <f aca="false">RANK(I5,$I$5:$I$14,1)</f>
        <v>5</v>
      </c>
      <c r="N5" s="5" t="s">
        <v>16</v>
      </c>
    </row>
    <row r="6" customFormat="false" ht="15" hidden="false" customHeight="false" outlineLevel="0" collapsed="false">
      <c r="A6" s="5" t="s">
        <v>14</v>
      </c>
      <c r="B6" s="5" t="s">
        <v>18</v>
      </c>
      <c r="C6" s="8" t="n">
        <f aca="false">'License Calculator'!F5</f>
        <v>158400</v>
      </c>
      <c r="D6" s="8" t="n">
        <f aca="false">'Architecture Costs'!H4</f>
        <v>64200</v>
      </c>
      <c r="E6" s="8" t="n">
        <f aca="false">Inputs!$B$11*Inputs!$B$46</f>
        <v>625000</v>
      </c>
      <c r="F6" s="8" t="n">
        <f aca="false">Inputs!$B$49</f>
        <v>30000</v>
      </c>
      <c r="G6" s="8" t="n">
        <f aca="false">SUM(C6:F6)</f>
        <v>877600</v>
      </c>
      <c r="H6" s="8" t="n">
        <f aca="false">IF(Inputs!$B$13=0,(C6+D6)*(Inputs!$B$12-1),(C6+D6)*(((1+Inputs!$B$13)^Inputs!$B$12-(1+Inputs!$B$13))/Inputs!$B$13))</f>
        <v>890400</v>
      </c>
      <c r="I6" s="7" t="n">
        <f aca="false">G6+H6</f>
        <v>1768000</v>
      </c>
      <c r="J6" s="8" t="n">
        <f aca="false">I6/Inputs!$B$12</f>
        <v>353600</v>
      </c>
      <c r="K6" s="8" t="n">
        <f aca="false">I6/Inputs!$B$12/Inputs!$B$6</f>
        <v>707.2</v>
      </c>
      <c r="L6" s="9" t="n">
        <f aca="false">RANK(I6,$I$5:$I$25,1)</f>
        <v>18</v>
      </c>
      <c r="M6" s="9" t="n">
        <f aca="false">RANK(I6,$I$5:$I$14,1)</f>
        <v>9</v>
      </c>
      <c r="N6" s="5" t="s">
        <v>19</v>
      </c>
    </row>
    <row r="7" customFormat="false" ht="23.85" hidden="false" customHeight="false" outlineLevel="0" collapsed="false">
      <c r="A7" s="10" t="s">
        <v>14</v>
      </c>
      <c r="B7" s="10" t="s">
        <v>21</v>
      </c>
      <c r="C7" s="12" t="n">
        <f aca="false">'License Calculator'!F6</f>
        <v>68432.04</v>
      </c>
      <c r="D7" s="12" t="n">
        <f aca="false">'Architecture Costs'!H4</f>
        <v>64200</v>
      </c>
      <c r="E7" s="12" t="n">
        <f aca="false">Inputs!$B$11*Inputs!$B$46</f>
        <v>625000</v>
      </c>
      <c r="F7" s="12" t="n">
        <f aca="false">Inputs!$B$49</f>
        <v>30000</v>
      </c>
      <c r="G7" s="12" t="n">
        <f aca="false">SUM(C7:F7)</f>
        <v>787632.04</v>
      </c>
      <c r="H7" s="12" t="n">
        <f aca="false">IF(Inputs!$B$13=0,(C7+D7)*(Inputs!$B$12-1),(C7+D7)*(((1+Inputs!$B$13)^Inputs!$B$12-(1+Inputs!$B$13))/Inputs!$B$13))</f>
        <v>530528.16</v>
      </c>
      <c r="I7" s="11" t="n">
        <f aca="false">G7+H7</f>
        <v>1318160.2</v>
      </c>
      <c r="J7" s="12" t="n">
        <f aca="false">I7/Inputs!$B$12</f>
        <v>263632.04</v>
      </c>
      <c r="K7" s="12" t="n">
        <f aca="false">I7/Inputs!$B$12/Inputs!$B$6</f>
        <v>527.26408</v>
      </c>
      <c r="L7" s="13" t="n">
        <f aca="false">RANK(I7,$I$5:$I$25,1)</f>
        <v>8</v>
      </c>
      <c r="M7" s="13" t="n">
        <f aca="false">RANK(I7,$I$5:$I$14,1)</f>
        <v>4</v>
      </c>
      <c r="N7" s="10" t="s">
        <v>22</v>
      </c>
    </row>
    <row r="8" customFormat="false" ht="15" hidden="false" customHeight="false" outlineLevel="0" collapsed="false">
      <c r="A8" s="5" t="s">
        <v>14</v>
      </c>
      <c r="B8" s="5" t="s">
        <v>24</v>
      </c>
      <c r="C8" s="8" t="n">
        <f aca="false">'License Calculator'!F7</f>
        <v>109315.2</v>
      </c>
      <c r="D8" s="8" t="n">
        <f aca="false">'Architecture Costs'!H4</f>
        <v>64200</v>
      </c>
      <c r="E8" s="8" t="n">
        <f aca="false">Inputs!$B$11*Inputs!$B$46</f>
        <v>625000</v>
      </c>
      <c r="F8" s="8" t="n">
        <f aca="false">Inputs!$B$49</f>
        <v>30000</v>
      </c>
      <c r="G8" s="8" t="n">
        <f aca="false">SUM(C8:F8)</f>
        <v>828515.2</v>
      </c>
      <c r="H8" s="8" t="n">
        <f aca="false">IF(Inputs!$B$13=0,(C8+D8)*(Inputs!$B$12-1),(C8+D8)*(((1+Inputs!$B$13)^Inputs!$B$12-(1+Inputs!$B$13))/Inputs!$B$13))</f>
        <v>694060.8</v>
      </c>
      <c r="I8" s="7" t="n">
        <f aca="false">G8+H8</f>
        <v>1522576</v>
      </c>
      <c r="J8" s="8" t="n">
        <f aca="false">I8/Inputs!$B$12</f>
        <v>304515.2</v>
      </c>
      <c r="K8" s="8" t="n">
        <f aca="false">I8/Inputs!$B$12/Inputs!$B$6</f>
        <v>609.0304</v>
      </c>
      <c r="L8" s="9" t="n">
        <f aca="false">RANK(I8,$I$5:$I$25,1)</f>
        <v>13</v>
      </c>
      <c r="M8" s="9" t="n">
        <f aca="false">RANK(I8,$I$5:$I$14,1)</f>
        <v>7</v>
      </c>
      <c r="N8" s="5" t="s">
        <v>25</v>
      </c>
    </row>
    <row r="9" customFormat="false" ht="15" hidden="false" customHeight="false" outlineLevel="0" collapsed="false">
      <c r="A9" s="5" t="s">
        <v>14</v>
      </c>
      <c r="B9" s="5" t="s">
        <v>27</v>
      </c>
      <c r="C9" s="8" t="n">
        <f aca="false">'License Calculator'!F8</f>
        <v>68340</v>
      </c>
      <c r="D9" s="8" t="n">
        <f aca="false">'Architecture Costs'!H4</f>
        <v>64200</v>
      </c>
      <c r="E9" s="8" t="n">
        <f aca="false">Inputs!$B$11*Inputs!$B$46</f>
        <v>625000</v>
      </c>
      <c r="F9" s="8" t="n">
        <f aca="false">Inputs!$B$49</f>
        <v>30000</v>
      </c>
      <c r="G9" s="8" t="n">
        <f aca="false">SUM(C9:F9)</f>
        <v>787540</v>
      </c>
      <c r="H9" s="8" t="n">
        <f aca="false">IF(Inputs!$B$13=0,(C9+D9)*(Inputs!$B$12-1),(C9+D9)*(((1+Inputs!$B$13)^Inputs!$B$12-(1+Inputs!$B$13))/Inputs!$B$13))</f>
        <v>530160</v>
      </c>
      <c r="I9" s="7" t="n">
        <f aca="false">G9+H9</f>
        <v>1317700</v>
      </c>
      <c r="J9" s="8" t="n">
        <f aca="false">I9/Inputs!$B$12</f>
        <v>263540</v>
      </c>
      <c r="K9" s="8" t="n">
        <f aca="false">I9/Inputs!$B$12/Inputs!$B$6</f>
        <v>527.08</v>
      </c>
      <c r="L9" s="9" t="n">
        <f aca="false">RANK(I9,$I$5:$I$25,1)</f>
        <v>7</v>
      </c>
      <c r="M9" s="9" t="n">
        <f aca="false">RANK(I9,$I$5:$I$14,1)</f>
        <v>3</v>
      </c>
      <c r="N9" s="5" t="s">
        <v>28</v>
      </c>
    </row>
    <row r="10" customFormat="false" ht="15" hidden="false" customHeight="false" outlineLevel="0" collapsed="false">
      <c r="A10" s="5" t="s">
        <v>30</v>
      </c>
      <c r="B10" s="5" t="s">
        <v>31</v>
      </c>
      <c r="C10" s="8" t="n">
        <f aca="false">'License Calculator'!F9</f>
        <v>125100</v>
      </c>
      <c r="D10" s="8" t="n">
        <f aca="false">'Architecture Costs'!H6</f>
        <v>35800</v>
      </c>
      <c r="E10" s="8" t="n">
        <f aca="false">Inputs!$B$11*Inputs!$B$47</f>
        <v>675000</v>
      </c>
      <c r="F10" s="8" t="n">
        <f aca="false">Inputs!$B$50</f>
        <v>25000</v>
      </c>
      <c r="G10" s="8" t="n">
        <f aca="false">SUM(C10:F10)</f>
        <v>860900</v>
      </c>
      <c r="H10" s="8" t="n">
        <f aca="false">IF(Inputs!$B$13=0,(C10+D10)*(Inputs!$B$12-1),(C10+D10)*(((1+Inputs!$B$13)^Inputs!$B$12-(1+Inputs!$B$13))/Inputs!$B$13))</f>
        <v>643600</v>
      </c>
      <c r="I10" s="7" t="n">
        <f aca="false">G10+H10</f>
        <v>1504500</v>
      </c>
      <c r="J10" s="8" t="n">
        <f aca="false">I10/Inputs!$B$12</f>
        <v>300900</v>
      </c>
      <c r="K10" s="8" t="n">
        <f aca="false">I10/Inputs!$B$12/Inputs!$B$6</f>
        <v>601.8</v>
      </c>
      <c r="L10" s="9" t="n">
        <f aca="false">RANK(I10,$I$5:$I$25,1)</f>
        <v>12</v>
      </c>
      <c r="M10" s="9" t="n">
        <f aca="false">RANK(I10,$I$5:$I$14,1)</f>
        <v>6</v>
      </c>
      <c r="N10" s="5" t="s">
        <v>32</v>
      </c>
    </row>
    <row r="11" customFormat="false" ht="15" hidden="false" customHeight="false" outlineLevel="0" collapsed="false">
      <c r="A11" s="27" t="s">
        <v>30</v>
      </c>
      <c r="B11" s="27" t="s">
        <v>33</v>
      </c>
      <c r="C11" s="30" t="n">
        <f aca="false">'License Calculator'!F10</f>
        <v>265500</v>
      </c>
      <c r="D11" s="30" t="n">
        <f aca="false">'Architecture Costs'!H6</f>
        <v>35800</v>
      </c>
      <c r="E11" s="30" t="n">
        <f aca="false">Inputs!$B$11*Inputs!$B$47</f>
        <v>675000</v>
      </c>
      <c r="F11" s="30" t="n">
        <f aca="false">Inputs!$B$50</f>
        <v>25000</v>
      </c>
      <c r="G11" s="30" t="n">
        <f aca="false">SUM(C11:F11)</f>
        <v>1001300</v>
      </c>
      <c r="H11" s="30" t="n">
        <f aca="false">IF(Inputs!$B$13=0,(C11+D11)*(Inputs!$B$12-1),(C11+D11)*(((1+Inputs!$B$13)^Inputs!$B$12-(1+Inputs!$B$13))/Inputs!$B$13))</f>
        <v>1205200</v>
      </c>
      <c r="I11" s="31" t="n">
        <f aca="false">G11+H11</f>
        <v>2206500</v>
      </c>
      <c r="J11" s="30" t="n">
        <f aca="false">I11/Inputs!$B$12</f>
        <v>441300</v>
      </c>
      <c r="K11" s="30" t="n">
        <f aca="false">I11/Inputs!$B$12/Inputs!$B$6</f>
        <v>882.6</v>
      </c>
      <c r="L11" s="32" t="n">
        <f aca="false">RANK(I11,$I$5:$I$25,1)</f>
        <v>19</v>
      </c>
      <c r="M11" s="32" t="n">
        <f aca="false">RANK(I11,$I$5:$I$14,1)</f>
        <v>10</v>
      </c>
      <c r="N11" s="27" t="s">
        <v>34</v>
      </c>
    </row>
    <row r="12" customFormat="false" ht="15" hidden="false" customHeight="false" outlineLevel="0" collapsed="false">
      <c r="A12" s="5" t="s">
        <v>36</v>
      </c>
      <c r="B12" s="5" t="s">
        <v>31</v>
      </c>
      <c r="C12" s="8" t="n">
        <f aca="false">'License Calculator'!F9</f>
        <v>125100</v>
      </c>
      <c r="D12" s="8" t="n">
        <f aca="false">'Architecture Costs'!H8</f>
        <v>85800</v>
      </c>
      <c r="E12" s="8" t="n">
        <f aca="false">Inputs!$B$11*Inputs!$B$47</f>
        <v>675000</v>
      </c>
      <c r="F12" s="8" t="n">
        <f aca="false">Inputs!$B$50</f>
        <v>25000</v>
      </c>
      <c r="G12" s="8" t="n">
        <f aca="false">SUM(C12:F12)</f>
        <v>910900</v>
      </c>
      <c r="H12" s="8" t="n">
        <f aca="false">IF(Inputs!$B$13=0,(C12+D12)*(Inputs!$B$12-1),(C12+D12)*(((1+Inputs!$B$13)^Inputs!$B$12-(1+Inputs!$B$13))/Inputs!$B$13))</f>
        <v>843600</v>
      </c>
      <c r="I12" s="7" t="n">
        <f aca="false">G12+H12</f>
        <v>1754500</v>
      </c>
      <c r="J12" s="8" t="n">
        <f aca="false">I12/Inputs!$B$12</f>
        <v>350900</v>
      </c>
      <c r="K12" s="8" t="n">
        <f aca="false">I12/Inputs!$B$12/Inputs!$B$6</f>
        <v>701.8</v>
      </c>
      <c r="L12" s="9" t="n">
        <f aca="false">RANK(I12,$I$5:$I$25,1)</f>
        <v>16</v>
      </c>
      <c r="M12" s="9" t="n">
        <f aca="false">RANK(I12,$I$5:$I$14,1)</f>
        <v>8</v>
      </c>
      <c r="N12" s="5" t="s">
        <v>37</v>
      </c>
    </row>
    <row r="13" customFormat="false" ht="15" hidden="false" customHeight="false" outlineLevel="0" collapsed="false">
      <c r="A13" s="5" t="s">
        <v>39</v>
      </c>
      <c r="B13" s="5" t="s">
        <v>40</v>
      </c>
      <c r="C13" s="8" t="n">
        <f aca="false">'License Calculator'!F11</f>
        <v>32400</v>
      </c>
      <c r="D13" s="8" t="n">
        <f aca="false">'Architecture Costs'!H10</f>
        <v>25080</v>
      </c>
      <c r="E13" s="8" t="n">
        <f aca="false">Inputs!$B$11*Inputs!$B$48</f>
        <v>800000</v>
      </c>
      <c r="F13" s="8" t="n">
        <f aca="false">Inputs!$B$51</f>
        <v>50000</v>
      </c>
      <c r="G13" s="8" t="n">
        <f aca="false">SUM(C13:F13)</f>
        <v>907480</v>
      </c>
      <c r="H13" s="8" t="n">
        <f aca="false">IF(Inputs!$B$13=0,(C13+D13)*(Inputs!$B$12-1),(C13+D13)*(((1+Inputs!$B$13)^Inputs!$B$12-(1+Inputs!$B$13))/Inputs!$B$13))</f>
        <v>229920</v>
      </c>
      <c r="I13" s="7" t="n">
        <f aca="false">G13+H13</f>
        <v>1137400</v>
      </c>
      <c r="J13" s="8" t="n">
        <f aca="false">I13/Inputs!$B$12</f>
        <v>227480</v>
      </c>
      <c r="K13" s="8" t="n">
        <f aca="false">I13/Inputs!$B$12/Inputs!$B$6</f>
        <v>454.96</v>
      </c>
      <c r="L13" s="9" t="n">
        <f aca="false">RANK(I13,$I$5:$I$25,1)</f>
        <v>1</v>
      </c>
      <c r="M13" s="9" t="n">
        <f aca="false">RANK(I13,$I$5:$I$14,1)</f>
        <v>1</v>
      </c>
      <c r="N13" s="5" t="s">
        <v>41</v>
      </c>
    </row>
    <row r="14" customFormat="false" ht="15" hidden="false" customHeight="false" outlineLevel="0" collapsed="false">
      <c r="A14" s="27" t="s">
        <v>39</v>
      </c>
      <c r="B14" s="27" t="s">
        <v>43</v>
      </c>
      <c r="C14" s="30" t="n">
        <f aca="false">'License Calculator'!F12</f>
        <v>45000</v>
      </c>
      <c r="D14" s="30" t="n">
        <f aca="false">'Architecture Costs'!H10</f>
        <v>25080</v>
      </c>
      <c r="E14" s="30" t="n">
        <f aca="false">Inputs!$B$11*Inputs!$B$48</f>
        <v>800000</v>
      </c>
      <c r="F14" s="30" t="n">
        <f aca="false">Inputs!$B$51</f>
        <v>50000</v>
      </c>
      <c r="G14" s="30" t="n">
        <f aca="false">SUM(C14:F14)</f>
        <v>920080</v>
      </c>
      <c r="H14" s="30" t="n">
        <f aca="false">IF(Inputs!$B$13=0,(C14+D14)*(Inputs!$B$12-1),(C14+D14)*(((1+Inputs!$B$13)^Inputs!$B$12-(1+Inputs!$B$13))/Inputs!$B$13))</f>
        <v>280320</v>
      </c>
      <c r="I14" s="31" t="n">
        <f aca="false">G14+H14</f>
        <v>1200400</v>
      </c>
      <c r="J14" s="30" t="n">
        <f aca="false">I14/Inputs!$B$12</f>
        <v>240080</v>
      </c>
      <c r="K14" s="30" t="n">
        <f aca="false">I14/Inputs!$B$12/Inputs!$B$6</f>
        <v>480.16</v>
      </c>
      <c r="L14" s="32" t="n">
        <f aca="false">RANK(I14,$I$5:$I$25,1)</f>
        <v>4</v>
      </c>
      <c r="M14" s="32" t="n">
        <f aca="false">RANK(I14,$I$5:$I$14,1)</f>
        <v>2</v>
      </c>
      <c r="N14" s="27" t="s">
        <v>44</v>
      </c>
    </row>
    <row r="15" customFormat="false" ht="15" hidden="false" customHeight="false" outlineLevel="0" collapsed="false">
      <c r="A15" s="29" t="s">
        <v>327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customFormat="false" ht="15" hidden="false" customHeight="false" outlineLevel="0" collapsed="false">
      <c r="A16" s="5" t="s">
        <v>47</v>
      </c>
      <c r="B16" s="5" t="s">
        <v>15</v>
      </c>
      <c r="C16" s="8" t="n">
        <f aca="false">'License Calculator'!F4</f>
        <v>92400</v>
      </c>
      <c r="D16" s="8" t="n">
        <f aca="false">'Architecture Costs'!H5</f>
        <v>30800</v>
      </c>
      <c r="E16" s="8" t="n">
        <f aca="false">Inputs!$B$11*Inputs!$B$46</f>
        <v>625000</v>
      </c>
      <c r="F16" s="8" t="n">
        <f aca="false">Inputs!$B$49</f>
        <v>30000</v>
      </c>
      <c r="G16" s="8" t="n">
        <f aca="false">SUM(C16:F16)</f>
        <v>778200</v>
      </c>
      <c r="H16" s="8" t="n">
        <f aca="false">IF(Inputs!$B$13=0,(C16+D16)*(Inputs!$B$12-1),(C16+D16)*(((1+Inputs!$B$13)^Inputs!$B$12-(1+Inputs!$B$13))/Inputs!$B$13))</f>
        <v>492800</v>
      </c>
      <c r="I16" s="7" t="n">
        <f aca="false">G16+H16</f>
        <v>1271000</v>
      </c>
      <c r="J16" s="8" t="n">
        <f aca="false">I16/Inputs!$B$12</f>
        <v>254200</v>
      </c>
      <c r="K16" s="8" t="n">
        <f aca="false">I16/Inputs!$B$12/Inputs!$B$6</f>
        <v>508.4</v>
      </c>
      <c r="L16" s="9" t="n">
        <f aca="false">RANK(I16,$I$5:$I$25,1)</f>
        <v>5</v>
      </c>
      <c r="M16" s="9" t="n">
        <f aca="false">RANK(I16,$I$16:$I$25,1)</f>
        <v>3</v>
      </c>
      <c r="N16" s="5" t="s">
        <v>48</v>
      </c>
    </row>
    <row r="17" customFormat="false" ht="15" hidden="false" customHeight="false" outlineLevel="0" collapsed="false">
      <c r="A17" s="5" t="s">
        <v>47</v>
      </c>
      <c r="B17" s="5" t="s">
        <v>18</v>
      </c>
      <c r="C17" s="8" t="n">
        <f aca="false">'License Calculator'!F5</f>
        <v>158400</v>
      </c>
      <c r="D17" s="8" t="n">
        <f aca="false">'Architecture Costs'!H5</f>
        <v>30800</v>
      </c>
      <c r="E17" s="8" t="n">
        <f aca="false">Inputs!$B$11*Inputs!$B$46</f>
        <v>625000</v>
      </c>
      <c r="F17" s="8" t="n">
        <f aca="false">Inputs!$B$49</f>
        <v>30000</v>
      </c>
      <c r="G17" s="8" t="n">
        <f aca="false">SUM(C17:F17)</f>
        <v>844200</v>
      </c>
      <c r="H17" s="8" t="n">
        <f aca="false">IF(Inputs!$B$13=0,(C17+D17)*(Inputs!$B$12-1),(C17+D17)*(((1+Inputs!$B$13)^Inputs!$B$12-(1+Inputs!$B$13))/Inputs!$B$13))</f>
        <v>756800</v>
      </c>
      <c r="I17" s="7" t="n">
        <f aca="false">G17+H17</f>
        <v>1601000</v>
      </c>
      <c r="J17" s="8" t="n">
        <f aca="false">I17/Inputs!$B$12</f>
        <v>320200</v>
      </c>
      <c r="K17" s="8" t="n">
        <f aca="false">I17/Inputs!$B$12/Inputs!$B$6</f>
        <v>640.4</v>
      </c>
      <c r="L17" s="9" t="n">
        <f aca="false">RANK(I17,$I$5:$I$25,1)</f>
        <v>14</v>
      </c>
      <c r="M17" s="9" t="n">
        <f aca="false">RANK(I17,$I$16:$I$25,1)</f>
        <v>7</v>
      </c>
      <c r="N17" s="5" t="s">
        <v>50</v>
      </c>
    </row>
    <row r="18" customFormat="false" ht="15" hidden="false" customHeight="false" outlineLevel="0" collapsed="false">
      <c r="A18" s="10" t="s">
        <v>47</v>
      </c>
      <c r="B18" s="10" t="s">
        <v>21</v>
      </c>
      <c r="C18" s="12" t="n">
        <f aca="false">'License Calculator'!F6</f>
        <v>68432.04</v>
      </c>
      <c r="D18" s="12" t="n">
        <f aca="false">'Architecture Costs'!H5</f>
        <v>30800</v>
      </c>
      <c r="E18" s="12" t="n">
        <f aca="false">Inputs!$B$11*Inputs!$B$46</f>
        <v>625000</v>
      </c>
      <c r="F18" s="12" t="n">
        <f aca="false">Inputs!$B$49</f>
        <v>30000</v>
      </c>
      <c r="G18" s="12" t="n">
        <f aca="false">SUM(C18:F18)</f>
        <v>754232.04</v>
      </c>
      <c r="H18" s="12" t="n">
        <f aca="false">IF(Inputs!$B$13=0,(C18+D18)*(Inputs!$B$12-1),(C18+D18)*(((1+Inputs!$B$13)^Inputs!$B$12-(1+Inputs!$B$13))/Inputs!$B$13))</f>
        <v>396928.16</v>
      </c>
      <c r="I18" s="11" t="n">
        <f aca="false">G18+H18</f>
        <v>1151160.2</v>
      </c>
      <c r="J18" s="12" t="n">
        <f aca="false">I18/Inputs!$B$12</f>
        <v>230232.04</v>
      </c>
      <c r="K18" s="12" t="n">
        <f aca="false">I18/Inputs!$B$12/Inputs!$B$6</f>
        <v>460.46408</v>
      </c>
      <c r="L18" s="13" t="n">
        <f aca="false">RANK(I18,$I$5:$I$25,1)</f>
        <v>3</v>
      </c>
      <c r="M18" s="13" t="n">
        <f aca="false">RANK(I18,$I$16:$I$25,1)</f>
        <v>2</v>
      </c>
      <c r="N18" s="10" t="s">
        <v>52</v>
      </c>
    </row>
    <row r="19" customFormat="false" ht="15" hidden="false" customHeight="false" outlineLevel="0" collapsed="false">
      <c r="A19" s="5" t="s">
        <v>47</v>
      </c>
      <c r="B19" s="5" t="s">
        <v>24</v>
      </c>
      <c r="C19" s="8" t="n">
        <f aca="false">'License Calculator'!F7</f>
        <v>109315.2</v>
      </c>
      <c r="D19" s="8" t="n">
        <f aca="false">'Architecture Costs'!H5</f>
        <v>30800</v>
      </c>
      <c r="E19" s="8" t="n">
        <f aca="false">Inputs!$B$11*Inputs!$B$46</f>
        <v>625000</v>
      </c>
      <c r="F19" s="8" t="n">
        <f aca="false">Inputs!$B$49</f>
        <v>30000</v>
      </c>
      <c r="G19" s="8" t="n">
        <f aca="false">SUM(C19:F19)</f>
        <v>795115.2</v>
      </c>
      <c r="H19" s="8" t="n">
        <f aca="false">IF(Inputs!$B$13=0,(C19+D19)*(Inputs!$B$12-1),(C19+D19)*(((1+Inputs!$B$13)^Inputs!$B$12-(1+Inputs!$B$13))/Inputs!$B$13))</f>
        <v>560460.8</v>
      </c>
      <c r="I19" s="7" t="n">
        <f aca="false">G19+H19</f>
        <v>1355576</v>
      </c>
      <c r="J19" s="8" t="n">
        <f aca="false">I19/Inputs!$B$12</f>
        <v>271115.2</v>
      </c>
      <c r="K19" s="8" t="n">
        <f aca="false">I19/Inputs!$B$12/Inputs!$B$6</f>
        <v>542.2304</v>
      </c>
      <c r="L19" s="9" t="n">
        <f aca="false">RANK(I19,$I$5:$I$25,1)</f>
        <v>9</v>
      </c>
      <c r="M19" s="9" t="n">
        <f aca="false">RANK(I19,$I$16:$I$25,1)</f>
        <v>5</v>
      </c>
      <c r="N19" s="5" t="s">
        <v>25</v>
      </c>
    </row>
    <row r="20" customFormat="false" ht="15" hidden="false" customHeight="false" outlineLevel="0" collapsed="false">
      <c r="A20" s="5" t="s">
        <v>47</v>
      </c>
      <c r="B20" s="5" t="s">
        <v>27</v>
      </c>
      <c r="C20" s="8" t="n">
        <f aca="false">'License Calculator'!F8</f>
        <v>68340</v>
      </c>
      <c r="D20" s="8" t="n">
        <f aca="false">'Architecture Costs'!H5</f>
        <v>30800</v>
      </c>
      <c r="E20" s="8" t="n">
        <f aca="false">Inputs!$B$11*Inputs!$B$46</f>
        <v>625000</v>
      </c>
      <c r="F20" s="8" t="n">
        <f aca="false">Inputs!$B$49</f>
        <v>30000</v>
      </c>
      <c r="G20" s="8" t="n">
        <f aca="false">SUM(C20:F20)</f>
        <v>754140</v>
      </c>
      <c r="H20" s="8" t="n">
        <f aca="false">IF(Inputs!$B$13=0,(C20+D20)*(Inputs!$B$12-1),(C20+D20)*(((1+Inputs!$B$13)^Inputs!$B$12-(1+Inputs!$B$13))/Inputs!$B$13))</f>
        <v>396560</v>
      </c>
      <c r="I20" s="7" t="n">
        <f aca="false">G20+H20</f>
        <v>1150700</v>
      </c>
      <c r="J20" s="8" t="n">
        <f aca="false">I20/Inputs!$B$12</f>
        <v>230140</v>
      </c>
      <c r="K20" s="8" t="n">
        <f aca="false">I20/Inputs!$B$12/Inputs!$B$6</f>
        <v>460.28</v>
      </c>
      <c r="L20" s="9" t="n">
        <f aca="false">RANK(I20,$I$5:$I$25,1)</f>
        <v>2</v>
      </c>
      <c r="M20" s="9" t="n">
        <f aca="false">RANK(I20,$I$16:$I$25,1)</f>
        <v>1</v>
      </c>
      <c r="N20" s="5" t="s">
        <v>28</v>
      </c>
    </row>
    <row r="21" customFormat="false" ht="15" hidden="false" customHeight="false" outlineLevel="0" collapsed="false">
      <c r="A21" s="5" t="s">
        <v>53</v>
      </c>
      <c r="B21" s="5" t="s">
        <v>31</v>
      </c>
      <c r="C21" s="8" t="n">
        <f aca="false">'License Calculator'!F9</f>
        <v>125100</v>
      </c>
      <c r="D21" s="8" t="n">
        <f aca="false">'Architecture Costs'!H7</f>
        <v>56850</v>
      </c>
      <c r="E21" s="8" t="n">
        <f aca="false">Inputs!$B$11*Inputs!$B$47</f>
        <v>675000</v>
      </c>
      <c r="F21" s="8" t="n">
        <f aca="false">Inputs!$B$50</f>
        <v>25000</v>
      </c>
      <c r="G21" s="8" t="n">
        <f aca="false">SUM(C21:F21)</f>
        <v>881950</v>
      </c>
      <c r="H21" s="8" t="n">
        <f aca="false">IF(Inputs!$B$13=0,(C21+D21)*(Inputs!$B$12-1),(C21+D21)*(((1+Inputs!$B$13)^Inputs!$B$12-(1+Inputs!$B$13))/Inputs!$B$13))</f>
        <v>727800</v>
      </c>
      <c r="I21" s="7" t="n">
        <f aca="false">G21+H21</f>
        <v>1609750</v>
      </c>
      <c r="J21" s="8" t="n">
        <f aca="false">I21/Inputs!$B$12</f>
        <v>321950</v>
      </c>
      <c r="K21" s="8" t="n">
        <f aca="false">I21/Inputs!$B$12/Inputs!$B$6</f>
        <v>643.9</v>
      </c>
      <c r="L21" s="9" t="n">
        <f aca="false">RANK(I21,$I$5:$I$25,1)</f>
        <v>15</v>
      </c>
      <c r="M21" s="9" t="n">
        <f aca="false">RANK(I21,$I$16:$I$25,1)</f>
        <v>8</v>
      </c>
      <c r="N21" s="5" t="s">
        <v>54</v>
      </c>
    </row>
    <row r="22" customFormat="false" ht="15" hidden="false" customHeight="false" outlineLevel="0" collapsed="false">
      <c r="A22" s="27" t="s">
        <v>53</v>
      </c>
      <c r="B22" s="27" t="s">
        <v>33</v>
      </c>
      <c r="C22" s="30" t="n">
        <f aca="false">'License Calculator'!F10</f>
        <v>265500</v>
      </c>
      <c r="D22" s="30" t="n">
        <f aca="false">'Architecture Costs'!H7</f>
        <v>56850</v>
      </c>
      <c r="E22" s="30" t="n">
        <f aca="false">Inputs!$B$11*Inputs!$B$47</f>
        <v>675000</v>
      </c>
      <c r="F22" s="30" t="n">
        <f aca="false">Inputs!$B$50</f>
        <v>25000</v>
      </c>
      <c r="G22" s="30" t="n">
        <f aca="false">SUM(C22:F22)</f>
        <v>1022350</v>
      </c>
      <c r="H22" s="30" t="n">
        <f aca="false">IF(Inputs!$B$13=0,(C22+D22)*(Inputs!$B$12-1),(C22+D22)*(((1+Inputs!$B$13)^Inputs!$B$12-(1+Inputs!$B$13))/Inputs!$B$13))</f>
        <v>1289400</v>
      </c>
      <c r="I22" s="31" t="n">
        <f aca="false">G22+H22</f>
        <v>2311750</v>
      </c>
      <c r="J22" s="30" t="n">
        <f aca="false">I22/Inputs!$B$12</f>
        <v>462350</v>
      </c>
      <c r="K22" s="30" t="n">
        <f aca="false">I22/Inputs!$B$12/Inputs!$B$6</f>
        <v>924.7</v>
      </c>
      <c r="L22" s="32" t="n">
        <f aca="false">RANK(I22,$I$5:$I$25,1)</f>
        <v>20</v>
      </c>
      <c r="M22" s="32" t="n">
        <f aca="false">RANK(I22,$I$16:$I$25,1)</f>
        <v>10</v>
      </c>
      <c r="N22" s="27" t="s">
        <v>34</v>
      </c>
    </row>
    <row r="23" customFormat="false" ht="15" hidden="false" customHeight="false" outlineLevel="0" collapsed="false">
      <c r="A23" s="5" t="s">
        <v>55</v>
      </c>
      <c r="B23" s="5" t="s">
        <v>31</v>
      </c>
      <c r="C23" s="8" t="n">
        <f aca="false">'License Calculator'!F9</f>
        <v>125100</v>
      </c>
      <c r="D23" s="8" t="n">
        <f aca="false">'Architecture Costs'!H9</f>
        <v>85800</v>
      </c>
      <c r="E23" s="8" t="n">
        <f aca="false">Inputs!$B$11*Inputs!$B$47</f>
        <v>675000</v>
      </c>
      <c r="F23" s="8" t="n">
        <f aca="false">Inputs!$B$50</f>
        <v>25000</v>
      </c>
      <c r="G23" s="8" t="n">
        <f aca="false">SUM(C23:F23)</f>
        <v>910900</v>
      </c>
      <c r="H23" s="8" t="n">
        <f aca="false">IF(Inputs!$B$13=0,(C23+D23)*(Inputs!$B$12-1),(C23+D23)*(((1+Inputs!$B$13)^Inputs!$B$12-(1+Inputs!$B$13))/Inputs!$B$13))</f>
        <v>843600</v>
      </c>
      <c r="I23" s="7" t="n">
        <f aca="false">G23+H23</f>
        <v>1754500</v>
      </c>
      <c r="J23" s="8" t="n">
        <f aca="false">I23/Inputs!$B$12</f>
        <v>350900</v>
      </c>
      <c r="K23" s="8" t="n">
        <f aca="false">I23/Inputs!$B$12/Inputs!$B$6</f>
        <v>701.8</v>
      </c>
      <c r="L23" s="9" t="n">
        <f aca="false">RANK(I23,$I$5:$I$25,1)</f>
        <v>16</v>
      </c>
      <c r="M23" s="9" t="n">
        <f aca="false">RANK(I23,$I$16:$I$25,1)</f>
        <v>9</v>
      </c>
      <c r="N23" s="5" t="s">
        <v>37</v>
      </c>
    </row>
    <row r="24" customFormat="false" ht="15" hidden="false" customHeight="false" outlineLevel="0" collapsed="false">
      <c r="A24" s="5" t="s">
        <v>56</v>
      </c>
      <c r="B24" s="5" t="s">
        <v>40</v>
      </c>
      <c r="C24" s="8" t="n">
        <f aca="false">'License Calculator'!F11</f>
        <v>32400</v>
      </c>
      <c r="D24" s="8" t="n">
        <f aca="false">'Architecture Costs'!H11</f>
        <v>57090</v>
      </c>
      <c r="E24" s="8" t="n">
        <f aca="false">Inputs!$B$11*Inputs!$B$48</f>
        <v>800000</v>
      </c>
      <c r="F24" s="8" t="n">
        <f aca="false">Inputs!$B$51</f>
        <v>50000</v>
      </c>
      <c r="G24" s="8" t="n">
        <f aca="false">SUM(C24:F24)</f>
        <v>939490</v>
      </c>
      <c r="H24" s="8" t="n">
        <f aca="false">IF(Inputs!$B$13=0,(C24+D24)*(Inputs!$B$12-1),(C24+D24)*(((1+Inputs!$B$13)^Inputs!$B$12-(1+Inputs!$B$13))/Inputs!$B$13))</f>
        <v>357960</v>
      </c>
      <c r="I24" s="7" t="n">
        <f aca="false">G24+H24</f>
        <v>1297450</v>
      </c>
      <c r="J24" s="8" t="n">
        <f aca="false">I24/Inputs!$B$12</f>
        <v>259490</v>
      </c>
      <c r="K24" s="8" t="n">
        <f aca="false">I24/Inputs!$B$12/Inputs!$B$6</f>
        <v>518.98</v>
      </c>
      <c r="L24" s="9" t="n">
        <f aca="false">RANK(I24,$I$5:$I$25,1)</f>
        <v>6</v>
      </c>
      <c r="M24" s="9" t="n">
        <f aca="false">RANK(I24,$I$16:$I$25,1)</f>
        <v>4</v>
      </c>
      <c r="N24" s="5" t="s">
        <v>57</v>
      </c>
    </row>
    <row r="25" customFormat="false" ht="15" hidden="false" customHeight="false" outlineLevel="0" collapsed="false">
      <c r="A25" s="27" t="s">
        <v>56</v>
      </c>
      <c r="B25" s="27" t="s">
        <v>43</v>
      </c>
      <c r="C25" s="30" t="n">
        <f aca="false">'License Calculator'!F12</f>
        <v>45000</v>
      </c>
      <c r="D25" s="30" t="n">
        <f aca="false">'Architecture Costs'!H11</f>
        <v>57090</v>
      </c>
      <c r="E25" s="30" t="n">
        <f aca="false">Inputs!$B$11*Inputs!$B$48</f>
        <v>800000</v>
      </c>
      <c r="F25" s="30" t="n">
        <f aca="false">Inputs!$B$51</f>
        <v>50000</v>
      </c>
      <c r="G25" s="30" t="n">
        <f aca="false">SUM(C25:F25)</f>
        <v>952090</v>
      </c>
      <c r="H25" s="30" t="n">
        <f aca="false">IF(Inputs!$B$13=0,(C25+D25)*(Inputs!$B$12-1),(C25+D25)*(((1+Inputs!$B$13)^Inputs!$B$12-(1+Inputs!$B$13))/Inputs!$B$13))</f>
        <v>408360</v>
      </c>
      <c r="I25" s="31" t="n">
        <f aca="false">G25+H25</f>
        <v>1360450</v>
      </c>
      <c r="J25" s="30" t="n">
        <f aca="false">I25/Inputs!$B$12</f>
        <v>272090</v>
      </c>
      <c r="K25" s="30" t="n">
        <f aca="false">I25/Inputs!$B$12/Inputs!$B$6</f>
        <v>544.18</v>
      </c>
      <c r="L25" s="32" t="n">
        <f aca="false">RANK(I25,$I$5:$I$25,1)</f>
        <v>10</v>
      </c>
      <c r="M25" s="32" t="n">
        <f aca="false">RANK(I25,$I$16:$I$25,1)</f>
        <v>6</v>
      </c>
      <c r="N25" s="27" t="s">
        <v>58</v>
      </c>
    </row>
    <row r="27" customFormat="false" ht="15" hidden="false" customHeight="false" outlineLevel="0" collapsed="false">
      <c r="A27" s="33" t="s">
        <v>328</v>
      </c>
      <c r="B27" s="34"/>
    </row>
  </sheetData>
  <mergeCells count="4">
    <mergeCell ref="A1:N1"/>
    <mergeCell ref="A2:N2"/>
    <mergeCell ref="A4:N4"/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3"/>
    <col collapsed="false" customWidth="true" hidden="false" outlineLevel="0" max="14" min="13" style="0" width="14"/>
  </cols>
  <sheetData>
    <row r="1" customFormat="false" ht="25.5" hidden="false" customHeight="true" outlineLevel="0" collapsed="false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18" t="s">
        <v>330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customFormat="false" ht="30" hidden="false" customHeight="true" outlineLevel="0" collapsed="false">
      <c r="A4" s="2" t="s">
        <v>331</v>
      </c>
      <c r="B4" s="3" t="s">
        <v>76</v>
      </c>
      <c r="C4" s="3" t="s">
        <v>332</v>
      </c>
      <c r="D4" s="3" t="s">
        <v>333</v>
      </c>
      <c r="E4" s="3" t="s">
        <v>334</v>
      </c>
    </row>
    <row r="5" customFormat="false" ht="15" hidden="false" customHeight="false" outlineLevel="0" collapsed="false">
      <c r="A5" s="5" t="s">
        <v>12</v>
      </c>
      <c r="B5" s="5" t="s">
        <v>80</v>
      </c>
      <c r="C5" s="19" t="n">
        <v>100</v>
      </c>
      <c r="D5" s="19" t="n">
        <v>250</v>
      </c>
      <c r="E5" s="35" t="n">
        <f aca="false">Inputs!$B$6</f>
        <v>500</v>
      </c>
    </row>
    <row r="6" customFormat="false" ht="15" hidden="false" customHeight="false" outlineLevel="0" collapsed="false">
      <c r="A6" s="5" t="s">
        <v>84</v>
      </c>
      <c r="B6" s="5" t="s">
        <v>80</v>
      </c>
      <c r="C6" s="19" t="n">
        <v>10</v>
      </c>
      <c r="D6" s="19" t="n">
        <v>15</v>
      </c>
      <c r="E6" s="35" t="n">
        <f aca="false">Inputs!$B$7</f>
        <v>25</v>
      </c>
    </row>
    <row r="7" customFormat="false" ht="15" hidden="false" customHeight="false" outlineLevel="0" collapsed="false">
      <c r="A7" s="5" t="s">
        <v>86</v>
      </c>
      <c r="B7" s="5" t="s">
        <v>80</v>
      </c>
      <c r="C7" s="19" t="n">
        <v>10</v>
      </c>
      <c r="D7" s="19" t="n">
        <v>20</v>
      </c>
      <c r="E7" s="35" t="n">
        <f aca="false">Inputs!$B$8</f>
        <v>25</v>
      </c>
    </row>
    <row r="8" customFormat="false" ht="15" hidden="false" customHeight="false" outlineLevel="0" collapsed="false">
      <c r="A8" s="5" t="s">
        <v>89</v>
      </c>
      <c r="B8" s="5" t="s">
        <v>80</v>
      </c>
      <c r="C8" s="19" t="n">
        <v>20</v>
      </c>
      <c r="D8" s="19" t="n">
        <v>50</v>
      </c>
      <c r="E8" s="35" t="n">
        <f aca="false">Inputs!$B$9</f>
        <v>100</v>
      </c>
    </row>
    <row r="9" customFormat="false" ht="15" hidden="false" customHeight="false" outlineLevel="0" collapsed="false">
      <c r="A9" s="5" t="s">
        <v>335</v>
      </c>
      <c r="B9" s="5" t="s">
        <v>93</v>
      </c>
      <c r="C9" s="19" t="n">
        <v>1</v>
      </c>
      <c r="D9" s="19" t="n">
        <v>2</v>
      </c>
      <c r="E9" s="35" t="n">
        <f aca="false">Inputs!$B$10</f>
        <v>5</v>
      </c>
    </row>
    <row r="10" customFormat="false" ht="15" hidden="false" customHeight="false" outlineLevel="0" collapsed="false">
      <c r="A10" s="5" t="s">
        <v>336</v>
      </c>
      <c r="B10" s="5" t="s">
        <v>97</v>
      </c>
      <c r="C10" s="19" t="n">
        <v>60</v>
      </c>
      <c r="D10" s="19" t="n">
        <v>140</v>
      </c>
      <c r="E10" s="35" t="n">
        <f aca="false">Inputs!$B$11</f>
        <v>250</v>
      </c>
    </row>
    <row r="11" customFormat="false" ht="15" hidden="false" customHeight="false" outlineLevel="0" collapsed="false">
      <c r="A11" s="33" t="s">
        <v>337</v>
      </c>
    </row>
    <row r="12" customFormat="false" ht="15" hidden="false" customHeight="false" outlineLevel="0" collapsed="false">
      <c r="C12" s="36" t="s">
        <v>332</v>
      </c>
      <c r="D12" s="36"/>
      <c r="E12" s="36"/>
      <c r="F12" s="36" t="s">
        <v>333</v>
      </c>
      <c r="G12" s="36"/>
      <c r="H12" s="36"/>
      <c r="I12" s="36" t="s">
        <v>338</v>
      </c>
      <c r="J12" s="36"/>
      <c r="K12" s="36"/>
    </row>
    <row r="13" customFormat="false" ht="30" hidden="false" customHeight="true" outlineLevel="0" collapsed="false">
      <c r="A13" s="2" t="s">
        <v>4</v>
      </c>
      <c r="B13" s="3" t="s">
        <v>5</v>
      </c>
      <c r="C13" s="3" t="s">
        <v>317</v>
      </c>
      <c r="D13" s="3" t="s">
        <v>318</v>
      </c>
      <c r="E13" s="3" t="s">
        <v>6</v>
      </c>
      <c r="F13" s="3" t="s">
        <v>317</v>
      </c>
      <c r="G13" s="3" t="s">
        <v>318</v>
      </c>
      <c r="H13" s="3" t="s">
        <v>6</v>
      </c>
      <c r="I13" s="3" t="s">
        <v>317</v>
      </c>
      <c r="J13" s="3" t="s">
        <v>318</v>
      </c>
      <c r="K13" s="3" t="s">
        <v>6</v>
      </c>
    </row>
    <row r="14" customFormat="false" ht="15" hidden="false" customHeight="false" outlineLevel="0" collapsed="false">
      <c r="A14" s="29" t="s">
        <v>326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customFormat="false" ht="15" hidden="false" customHeight="false" outlineLevel="0" collapsed="false">
      <c r="A15" s="5" t="s">
        <v>14</v>
      </c>
      <c r="B15" s="5" t="s">
        <v>15</v>
      </c>
      <c r="C15" s="8" t="n">
        <f aca="false">($C$6*Inputs!$B$17*12)+($C$7*Inputs!$B$17*12)+($C$5*Inputs!$B$17*12)+(0)</f>
        <v>20160</v>
      </c>
      <c r="D15" s="8" t="n">
        <f aca="false">($C$9*1000*12*Inputs!$B$55)+(Inputs!$B$59*($C$5/Inputs!$B$6))+(Inputs!$B$41)+(Inputs!$B$42+Inputs!$B$63)+(Inputs!$B$66*12*Inputs!$B$36)</f>
        <v>50280</v>
      </c>
      <c r="E15" s="7" t="n">
        <f aca="false">C15+D15+$C$10*Inputs!$B$46+Inputs!$B$49+IF(Inputs!$B$13=0,(C15+D15)*(Inputs!$B$12-1),(C15+D15)*(((1+Inputs!$B$13)^Inputs!$B$12-(1+Inputs!$B$13))/Inputs!$B$13))</f>
        <v>532200</v>
      </c>
      <c r="F15" s="8" t="n">
        <f aca="false">($D$6*Inputs!$B$17*12)+($D$7*Inputs!$B$17*12)+($D$5*Inputs!$B$17*12)+(0)</f>
        <v>47880</v>
      </c>
      <c r="G15" s="8" t="n">
        <f aca="false">($D$9*1000*12*Inputs!$B$55)+(Inputs!$B$59*($D$5/Inputs!$B$6))+(Inputs!$B$41)+(Inputs!$B$42+Inputs!$B$63)+(Inputs!$B$66*12*Inputs!$B$36)</f>
        <v>54960</v>
      </c>
      <c r="H15" s="7" t="n">
        <f aca="false">F15+G15+$D$10*Inputs!$B$46+Inputs!$B$49+IF(Inputs!$B$13=0,(F15+G15)*(Inputs!$B$12-1),(F15+G15)*(((1+Inputs!$B$13)^Inputs!$B$12-(1+Inputs!$B$13))/Inputs!$B$13))</f>
        <v>894200</v>
      </c>
      <c r="I15" s="8" t="n">
        <f aca="false">($E$6*Inputs!$B$17*12)+($E$7*Inputs!$B$17*12)+($E$5*Inputs!$B$17*12)+(0)</f>
        <v>92400</v>
      </c>
      <c r="J15" s="8" t="n">
        <f aca="false">($E$9*1000*12*Inputs!$B$55)+(Inputs!$B$59*($E$5/Inputs!$B$6))+(Inputs!$B$41)+(Inputs!$B$42+Inputs!$B$63)+(Inputs!$B$66*12*Inputs!$B$36)</f>
        <v>64200</v>
      </c>
      <c r="K15" s="7" t="n">
        <f aca="false">I15+J15+$E$10*Inputs!$B$46+Inputs!$B$49+IF(Inputs!$B$13=0,(I15+J15)*(Inputs!$B$12-1),(I15+J15)*(((1+Inputs!$B$13)^Inputs!$B$12-(1+Inputs!$B$13))/Inputs!$B$13))</f>
        <v>1438000</v>
      </c>
    </row>
    <row r="16" customFormat="false" ht="15" hidden="false" customHeight="false" outlineLevel="0" collapsed="false">
      <c r="A16" s="5" t="s">
        <v>14</v>
      </c>
      <c r="B16" s="5" t="s">
        <v>18</v>
      </c>
      <c r="C16" s="8" t="n">
        <f aca="false">($C$6*Inputs!$B$18*12)+($C$7*Inputs!$B$18*12)+($C$5*Inputs!$B$18*12)+(0)</f>
        <v>34560</v>
      </c>
      <c r="D16" s="8" t="n">
        <f aca="false">($C$9*1000*12*Inputs!$B$55)+(Inputs!$B$59*($C$5/Inputs!$B$6))+(Inputs!$B$41)+(Inputs!$B$42+Inputs!$B$63)+(Inputs!$B$66*12*Inputs!$B$36)</f>
        <v>50280</v>
      </c>
      <c r="E16" s="7" t="n">
        <f aca="false">C16+D16+$C$10*Inputs!$B$46+Inputs!$B$49+IF(Inputs!$B$13=0,(C16+D16)*(Inputs!$B$12-1),(C16+D16)*(((1+Inputs!$B$13)^Inputs!$B$12-(1+Inputs!$B$13))/Inputs!$B$13))</f>
        <v>604200</v>
      </c>
      <c r="F16" s="8" t="n">
        <f aca="false">($D$6*Inputs!$B$18*12)+($D$7*Inputs!$B$18*12)+($D$5*Inputs!$B$18*12)+(0)</f>
        <v>82080</v>
      </c>
      <c r="G16" s="8" t="n">
        <f aca="false">($D$9*1000*12*Inputs!$B$55)+(Inputs!$B$59*($D$5/Inputs!$B$6))+(Inputs!$B$41)+(Inputs!$B$42+Inputs!$B$63)+(Inputs!$B$66*12*Inputs!$B$36)</f>
        <v>54960</v>
      </c>
      <c r="H16" s="7" t="n">
        <f aca="false">F16+G16+$D$10*Inputs!$B$46+Inputs!$B$49+IF(Inputs!$B$13=0,(F16+G16)*(Inputs!$B$12-1),(F16+G16)*(((1+Inputs!$B$13)^Inputs!$B$12-(1+Inputs!$B$13))/Inputs!$B$13))</f>
        <v>1065200</v>
      </c>
      <c r="I16" s="8" t="n">
        <f aca="false">($E$6*Inputs!$B$18*12)+($E$7*Inputs!$B$18*12)+($E$5*Inputs!$B$18*12)+(0)</f>
        <v>158400</v>
      </c>
      <c r="J16" s="8" t="n">
        <f aca="false">($E$9*1000*12*Inputs!$B$55)+(Inputs!$B$59*($E$5/Inputs!$B$6))+(Inputs!$B$41)+(Inputs!$B$42+Inputs!$B$63)+(Inputs!$B$66*12*Inputs!$B$36)</f>
        <v>64200</v>
      </c>
      <c r="K16" s="7" t="n">
        <f aca="false">I16+J16+$E$10*Inputs!$B$46+Inputs!$B$49+IF(Inputs!$B$13=0,(I16+J16)*(Inputs!$B$12-1),(I16+J16)*(((1+Inputs!$B$13)^Inputs!$B$12-(1+Inputs!$B$13))/Inputs!$B$13))</f>
        <v>1768000</v>
      </c>
    </row>
    <row r="17" customFormat="false" ht="15" hidden="false" customHeight="false" outlineLevel="0" collapsed="false">
      <c r="A17" s="10" t="s">
        <v>14</v>
      </c>
      <c r="B17" s="10" t="s">
        <v>21</v>
      </c>
      <c r="C17" s="12" t="n">
        <f aca="false">($C$6*Inputs!$B$17*12)+($C$7*Inputs!$B$17*12)+(0)+(Inputs!$B$34*12)</f>
        <v>63392.04</v>
      </c>
      <c r="D17" s="12" t="n">
        <f aca="false">($C$9*1000*12*Inputs!$B$55)+(Inputs!$B$59*($C$5/Inputs!$B$6))+(Inputs!$B$41)+(Inputs!$B$42+Inputs!$B$63)+(Inputs!$B$66*12*Inputs!$B$36)</f>
        <v>50280</v>
      </c>
      <c r="E17" s="11" t="n">
        <f aca="false">C17+D17+$C$10*Inputs!$B$46+Inputs!$B$49+IF(Inputs!$B$13=0,(C17+D17)*(Inputs!$B$12-1),(C17+D17)*(((1+Inputs!$B$13)^Inputs!$B$12-(1+Inputs!$B$13))/Inputs!$B$13))</f>
        <v>748360.2</v>
      </c>
      <c r="F17" s="12" t="n">
        <f aca="false">($D$6*Inputs!$B$17*12)+($D$7*Inputs!$B$17*12)+(0)+(Inputs!$B$34*12)</f>
        <v>65912.04</v>
      </c>
      <c r="G17" s="12" t="n">
        <f aca="false">($D$9*1000*12*Inputs!$B$55)+(Inputs!$B$59*($D$5/Inputs!$B$6))+(Inputs!$B$41)+(Inputs!$B$42+Inputs!$B$63)+(Inputs!$B$66*12*Inputs!$B$36)</f>
        <v>54960</v>
      </c>
      <c r="H17" s="11" t="n">
        <f aca="false">F17+G17+$D$10*Inputs!$B$46+Inputs!$B$49+IF(Inputs!$B$13=0,(F17+G17)*(Inputs!$B$12-1),(F17+G17)*(((1+Inputs!$B$13)^Inputs!$B$12-(1+Inputs!$B$13))/Inputs!$B$13))</f>
        <v>984360.2</v>
      </c>
      <c r="I17" s="12" t="n">
        <f aca="false">($E$6*Inputs!$B$17*12)+($E$7*Inputs!$B$17*12)+(0)+(Inputs!$B$34*12)</f>
        <v>68432.04</v>
      </c>
      <c r="J17" s="12" t="n">
        <f aca="false">($E$9*1000*12*Inputs!$B$55)+(Inputs!$B$59*($E$5/Inputs!$B$6))+(Inputs!$B$41)+(Inputs!$B$42+Inputs!$B$63)+(Inputs!$B$66*12*Inputs!$B$36)</f>
        <v>64200</v>
      </c>
      <c r="K17" s="11" t="n">
        <f aca="false">I17+J17+$E$10*Inputs!$B$46+Inputs!$B$49+IF(Inputs!$B$13=0,(I17+J17)*(Inputs!$B$12-1),(I17+J17)*(((1+Inputs!$B$13)^Inputs!$B$12-(1+Inputs!$B$13))/Inputs!$B$13))</f>
        <v>1318160.2</v>
      </c>
    </row>
    <row r="18" customFormat="false" ht="15" hidden="false" customHeight="false" outlineLevel="0" collapsed="false">
      <c r="A18" s="5" t="s">
        <v>14</v>
      </c>
      <c r="B18" s="5" t="s">
        <v>24</v>
      </c>
      <c r="C18" s="8" t="n">
        <f aca="false">($C$6*Inputs!$B$17*12)+($C$7*Inputs!$B$17*12)+(0)+(Inputs!$B$33*12)</f>
        <v>104275.2</v>
      </c>
      <c r="D18" s="8" t="n">
        <f aca="false">($C$9*1000*12*Inputs!$B$55)+(Inputs!$B$59*($C$5/Inputs!$B$6))+(Inputs!$B$41)+(Inputs!$B$42+Inputs!$B$63)+(Inputs!$B$66*12*Inputs!$B$36)</f>
        <v>50280</v>
      </c>
      <c r="E18" s="7" t="n">
        <f aca="false">C18+D18+$C$10*Inputs!$B$46+Inputs!$B$49+IF(Inputs!$B$13=0,(C18+D18)*(Inputs!$B$12-1),(C18+D18)*(((1+Inputs!$B$13)^Inputs!$B$12-(1+Inputs!$B$13))/Inputs!$B$13))</f>
        <v>952776</v>
      </c>
      <c r="F18" s="8" t="n">
        <f aca="false">($D$6*Inputs!$B$17*12)+($D$7*Inputs!$B$17*12)+(0)+(Inputs!$B$33*12)</f>
        <v>106795.2</v>
      </c>
      <c r="G18" s="8" t="n">
        <f aca="false">($D$9*1000*12*Inputs!$B$55)+(Inputs!$B$59*($D$5/Inputs!$B$6))+(Inputs!$B$41)+(Inputs!$B$42+Inputs!$B$63)+(Inputs!$B$66*12*Inputs!$B$36)</f>
        <v>54960</v>
      </c>
      <c r="H18" s="7" t="n">
        <f aca="false">F18+G18+$D$10*Inputs!$B$46+Inputs!$B$49+IF(Inputs!$B$13=0,(F18+G18)*(Inputs!$B$12-1),(F18+G18)*(((1+Inputs!$B$13)^Inputs!$B$12-(1+Inputs!$B$13))/Inputs!$B$13))</f>
        <v>1188776</v>
      </c>
      <c r="I18" s="8" t="n">
        <f aca="false">($E$6*Inputs!$B$17*12)+($E$7*Inputs!$B$17*12)+(0)+(Inputs!$B$33*12)</f>
        <v>109315.2</v>
      </c>
      <c r="J18" s="8" t="n">
        <f aca="false">($E$9*1000*12*Inputs!$B$55)+(Inputs!$B$59*($E$5/Inputs!$B$6))+(Inputs!$B$41)+(Inputs!$B$42+Inputs!$B$63)+(Inputs!$B$66*12*Inputs!$B$36)</f>
        <v>64200</v>
      </c>
      <c r="K18" s="7" t="n">
        <f aca="false">I18+J18+$E$10*Inputs!$B$46+Inputs!$B$49+IF(Inputs!$B$13=0,(I18+J18)*(Inputs!$B$12-1),(I18+J18)*(((1+Inputs!$B$13)^Inputs!$B$12-(1+Inputs!$B$13))/Inputs!$B$13))</f>
        <v>1522576</v>
      </c>
    </row>
    <row r="19" customFormat="false" ht="15" hidden="false" customHeight="false" outlineLevel="0" collapsed="false">
      <c r="A19" s="5" t="s">
        <v>14</v>
      </c>
      <c r="B19" s="5" t="s">
        <v>27</v>
      </c>
      <c r="C19" s="8" t="n">
        <f aca="false">($C$6*Inputs!$B$17*12)+($C$7*Inputs!$B$17*12)+(0)+(Inputs!$B$35*12)</f>
        <v>63300</v>
      </c>
      <c r="D19" s="8" t="n">
        <f aca="false">($C$9*1000*12*Inputs!$B$55)+(Inputs!$B$59*($C$5/Inputs!$B$6))+(Inputs!$B$41)+(Inputs!$B$42+Inputs!$B$63)+(Inputs!$B$66*12*Inputs!$B$36)</f>
        <v>50280</v>
      </c>
      <c r="E19" s="7" t="n">
        <f aca="false">C19+D19+$C$10*Inputs!$B$46+Inputs!$B$49+IF(Inputs!$B$13=0,(C19+D19)*(Inputs!$B$12-1),(C19+D19)*(((1+Inputs!$B$13)^Inputs!$B$12-(1+Inputs!$B$13))/Inputs!$B$13))</f>
        <v>747900</v>
      </c>
      <c r="F19" s="8" t="n">
        <f aca="false">($D$6*Inputs!$B$17*12)+($D$7*Inputs!$B$17*12)+(0)+(Inputs!$B$35*12)</f>
        <v>65820</v>
      </c>
      <c r="G19" s="8" t="n">
        <f aca="false">($D$9*1000*12*Inputs!$B$55)+(Inputs!$B$59*($D$5/Inputs!$B$6))+(Inputs!$B$41)+(Inputs!$B$42+Inputs!$B$63)+(Inputs!$B$66*12*Inputs!$B$36)</f>
        <v>54960</v>
      </c>
      <c r="H19" s="7" t="n">
        <f aca="false">F19+G19+$D$10*Inputs!$B$46+Inputs!$B$49+IF(Inputs!$B$13=0,(F19+G19)*(Inputs!$B$12-1),(F19+G19)*(((1+Inputs!$B$13)^Inputs!$B$12-(1+Inputs!$B$13))/Inputs!$B$13))</f>
        <v>983900</v>
      </c>
      <c r="I19" s="8" t="n">
        <f aca="false">($E$6*Inputs!$B$17*12)+($E$7*Inputs!$B$17*12)+(0)+(Inputs!$B$35*12)</f>
        <v>68340</v>
      </c>
      <c r="J19" s="8" t="n">
        <f aca="false">($E$9*1000*12*Inputs!$B$55)+(Inputs!$B$59*($E$5/Inputs!$B$6))+(Inputs!$B$41)+(Inputs!$B$42+Inputs!$B$63)+(Inputs!$B$66*12*Inputs!$B$36)</f>
        <v>64200</v>
      </c>
      <c r="K19" s="7" t="n">
        <f aca="false">I19+J19+$E$10*Inputs!$B$46+Inputs!$B$49+IF(Inputs!$B$13=0,(I19+J19)*(Inputs!$B$12-1),(I19+J19)*(((1+Inputs!$B$13)^Inputs!$B$12-(1+Inputs!$B$13))/Inputs!$B$13))</f>
        <v>1317700</v>
      </c>
    </row>
    <row r="20" customFormat="false" ht="15" hidden="false" customHeight="false" outlineLevel="0" collapsed="false">
      <c r="A20" s="5" t="s">
        <v>30</v>
      </c>
      <c r="B20" s="5" t="s">
        <v>31</v>
      </c>
      <c r="C20" s="8" t="n">
        <f aca="false">($C$6*Inputs!$B$19*12)+($C$7*Inputs!$B$20*12)+($C$5*Inputs!$B$21*12)+(0)</f>
        <v>32040</v>
      </c>
      <c r="D20" s="8" t="n">
        <f aca="false">($C$9*1000*12*Inputs!$B$55*Inputs!$B$61)+(Inputs!$B$59*Inputs!$B$61*($C$5/Inputs!$B$6))+(0)+(Inputs!$B$43+IF(Inputs!$B$61&gt;0,Inputs!$B$64,0))+(Inputs!$B$67*12*Inputs!$B$36)</f>
        <v>35800</v>
      </c>
      <c r="E20" s="7" t="n">
        <f aca="false">C20+D20+$C$10*Inputs!$B$47+Inputs!$B$50+IF(Inputs!$B$13=0,(C20+D20)*(Inputs!$B$12-1),(C20+D20)*(((1+Inputs!$B$13)^Inputs!$B$12-(1+Inputs!$B$13))/Inputs!$B$13))</f>
        <v>526200</v>
      </c>
      <c r="F20" s="8" t="n">
        <f aca="false">($D$6*Inputs!$B$19*12)+($D$7*Inputs!$B$20*12)+($D$5*Inputs!$B$21*12)+(0)</f>
        <v>68580</v>
      </c>
      <c r="G20" s="8" t="n">
        <f aca="false">($D$9*1000*12*Inputs!$B$55*Inputs!$B$61)+(Inputs!$B$59*Inputs!$B$61*($D$5/Inputs!$B$6))+(0)+(Inputs!$B$43+IF(Inputs!$B$61&gt;0,Inputs!$B$64,0))+(Inputs!$B$67*12*Inputs!$B$36)</f>
        <v>35800</v>
      </c>
      <c r="H20" s="7" t="n">
        <f aca="false">F20+G20+$D$10*Inputs!$B$47+Inputs!$B$50+IF(Inputs!$B$13=0,(F20+G20)*(Inputs!$B$12-1),(F20+G20)*(((1+Inputs!$B$13)^Inputs!$B$12-(1+Inputs!$B$13))/Inputs!$B$13))</f>
        <v>924900</v>
      </c>
      <c r="I20" s="8" t="n">
        <f aca="false">($E$6*Inputs!$B$19*12)+($E$7*Inputs!$B$20*12)+($E$5*Inputs!$B$21*12)+(0)</f>
        <v>125100</v>
      </c>
      <c r="J20" s="8" t="n">
        <f aca="false">($E$9*1000*12*Inputs!$B$55*Inputs!$B$61)+(Inputs!$B$59*Inputs!$B$61*($E$5/Inputs!$B$6))+(0)+(Inputs!$B$43+IF(Inputs!$B$61&gt;0,Inputs!$B$64,0))+(Inputs!$B$67*12*Inputs!$B$36)</f>
        <v>35800</v>
      </c>
      <c r="K20" s="7" t="n">
        <f aca="false">I20+J20+$E$10*Inputs!$B$47+Inputs!$B$50+IF(Inputs!$B$13=0,(I20+J20)*(Inputs!$B$12-1),(I20+J20)*(((1+Inputs!$B$13)^Inputs!$B$12-(1+Inputs!$B$13))/Inputs!$B$13))</f>
        <v>1504500</v>
      </c>
    </row>
    <row r="21" customFormat="false" ht="15" hidden="false" customHeight="false" outlineLevel="0" collapsed="false">
      <c r="A21" s="27" t="s">
        <v>30</v>
      </c>
      <c r="B21" s="27" t="s">
        <v>33</v>
      </c>
      <c r="C21" s="30" t="n">
        <f aca="false">($C$6*Inputs!$B$22*12)+($C$7*Inputs!$B$23*12)+($C$5*Inputs!$B$24*12)+(0)</f>
        <v>64200</v>
      </c>
      <c r="D21" s="30" t="n">
        <f aca="false">($C$9*1000*12*Inputs!$B$55*Inputs!$B$61)+(Inputs!$B$59*Inputs!$B$61*($C$5/Inputs!$B$6))+(0)+(Inputs!$B$43+IF(Inputs!$B$61&gt;0,Inputs!$B$64,0))+(Inputs!$B$67*12*Inputs!$B$36)</f>
        <v>35800</v>
      </c>
      <c r="E21" s="31" t="n">
        <f aca="false">C21+D21+$C$10*Inputs!$B$47+Inputs!$B$50+IF(Inputs!$B$13=0,(C21+D21)*(Inputs!$B$12-1),(C21+D21)*(((1+Inputs!$B$13)^Inputs!$B$12-(1+Inputs!$B$13))/Inputs!$B$13))</f>
        <v>687000</v>
      </c>
      <c r="F21" s="30" t="n">
        <f aca="false">($D$6*Inputs!$B$22*12)+($D$7*Inputs!$B$23*12)+($D$5*Inputs!$B$24*12)+(0)</f>
        <v>142500</v>
      </c>
      <c r="G21" s="30" t="n">
        <f aca="false">($D$9*1000*12*Inputs!$B$55*Inputs!$B$61)+(Inputs!$B$59*Inputs!$B$61*($D$5/Inputs!$B$6))+(0)+(Inputs!$B$43+IF(Inputs!$B$61&gt;0,Inputs!$B$64,0))+(Inputs!$B$67*12*Inputs!$B$36)</f>
        <v>35800</v>
      </c>
      <c r="H21" s="31" t="n">
        <f aca="false">F21+G21+$D$10*Inputs!$B$47+Inputs!$B$50+IF(Inputs!$B$13=0,(F21+G21)*(Inputs!$B$12-1),(F21+G21)*(((1+Inputs!$B$13)^Inputs!$B$12-(1+Inputs!$B$13))/Inputs!$B$13))</f>
        <v>1294500</v>
      </c>
      <c r="I21" s="30" t="n">
        <f aca="false">($E$6*Inputs!$B$22*12)+($E$7*Inputs!$B$23*12)+($E$5*Inputs!$B$24*12)+(0)</f>
        <v>265500</v>
      </c>
      <c r="J21" s="30" t="n">
        <f aca="false">($E$9*1000*12*Inputs!$B$55*Inputs!$B$61)+(Inputs!$B$59*Inputs!$B$61*($E$5/Inputs!$B$6))+(0)+(Inputs!$B$43+IF(Inputs!$B$61&gt;0,Inputs!$B$64,0))+(Inputs!$B$67*12*Inputs!$B$36)</f>
        <v>35800</v>
      </c>
      <c r="K21" s="31" t="n">
        <f aca="false">I21+J21+$E$10*Inputs!$B$47+Inputs!$B$50+IF(Inputs!$B$13=0,(I21+J21)*(Inputs!$B$12-1),(I21+J21)*(((1+Inputs!$B$13)^Inputs!$B$12-(1+Inputs!$B$13))/Inputs!$B$13))</f>
        <v>2206500</v>
      </c>
    </row>
    <row r="22" customFormat="false" ht="15" hidden="false" customHeight="false" outlineLevel="0" collapsed="false">
      <c r="A22" s="5" t="s">
        <v>36</v>
      </c>
      <c r="B22" s="5" t="s">
        <v>31</v>
      </c>
      <c r="C22" s="8" t="n">
        <f aca="false">($C$6*Inputs!$B$19*12)+($C$7*Inputs!$B$20*12)+($C$5*Inputs!$B$21*12)+(0)</f>
        <v>32040</v>
      </c>
      <c r="D22" s="8" t="n">
        <f aca="false">(0)+(0)+(Inputs!$B$40)+(Inputs!$B$44)+(Inputs!$B$67*12*Inputs!$B$36)</f>
        <v>85800</v>
      </c>
      <c r="E22" s="7" t="n">
        <f aca="false">C22+D22+$C$10*Inputs!$B$47+Inputs!$B$50+IF(Inputs!$B$13=0,(C22+D22)*(Inputs!$B$12-1),(C22+D22)*(((1+Inputs!$B$13)^Inputs!$B$12-(1+Inputs!$B$13))/Inputs!$B$13))</f>
        <v>776200</v>
      </c>
      <c r="F22" s="8" t="n">
        <f aca="false">($D$6*Inputs!$B$19*12)+($D$7*Inputs!$B$20*12)+($D$5*Inputs!$B$21*12)+(0)</f>
        <v>68580</v>
      </c>
      <c r="G22" s="8" t="n">
        <f aca="false">(0)+(0)+(Inputs!$B$40)+(Inputs!$B$44)+(Inputs!$B$67*12*Inputs!$B$36)</f>
        <v>85800</v>
      </c>
      <c r="H22" s="7" t="n">
        <f aca="false">F22+G22+$D$10*Inputs!$B$47+Inputs!$B$50+IF(Inputs!$B$13=0,(F22+G22)*(Inputs!$B$12-1),(F22+G22)*(((1+Inputs!$B$13)^Inputs!$B$12-(1+Inputs!$B$13))/Inputs!$B$13))</f>
        <v>1174900</v>
      </c>
      <c r="I22" s="8" t="n">
        <f aca="false">($E$6*Inputs!$B$19*12)+($E$7*Inputs!$B$20*12)+($E$5*Inputs!$B$21*12)+(0)</f>
        <v>125100</v>
      </c>
      <c r="J22" s="8" t="n">
        <f aca="false">(0)+(0)+(Inputs!$B$40)+(Inputs!$B$44)+(Inputs!$B$67*12*Inputs!$B$36)</f>
        <v>85800</v>
      </c>
      <c r="K22" s="7" t="n">
        <f aca="false">I22+J22+$E$10*Inputs!$B$47+Inputs!$B$50+IF(Inputs!$B$13=0,(I22+J22)*(Inputs!$B$12-1),(I22+J22)*(((1+Inputs!$B$13)^Inputs!$B$12-(1+Inputs!$B$13))/Inputs!$B$13))</f>
        <v>1754500</v>
      </c>
    </row>
    <row r="23" customFormat="false" ht="15" hidden="false" customHeight="false" outlineLevel="0" collapsed="false">
      <c r="A23" s="5" t="s">
        <v>39</v>
      </c>
      <c r="B23" s="5" t="s">
        <v>40</v>
      </c>
      <c r="C23" s="8" t="n">
        <f aca="false">($C$6*Inputs!$B$25*12)+($C$7*Inputs!$B$25*12)+($C$5*Inputs!$B$27*12)+(0)</f>
        <v>9360</v>
      </c>
      <c r="D23" s="8" t="n">
        <f aca="false">(0)+(0)+(0)+(Inputs!$B$45)+(Inputs!$B$68*12*Inputs!$B$36)</f>
        <v>25080</v>
      </c>
      <c r="E23" s="7" t="n">
        <f aca="false">C23+D23+$C$10*Inputs!$B$48+Inputs!$B$51+IF(Inputs!$B$13=0,(C23+D23)*(Inputs!$B$12-1),(C23+D23)*(((1+Inputs!$B$13)^Inputs!$B$12-(1+Inputs!$B$13))/Inputs!$B$13))</f>
        <v>414200</v>
      </c>
      <c r="F23" s="8" t="n">
        <f aca="false">($D$6*Inputs!$B$25*12)+($D$7*Inputs!$B$25*12)+($D$5*Inputs!$B$27*12)+(0)</f>
        <v>19080</v>
      </c>
      <c r="G23" s="8" t="n">
        <f aca="false">(0)+(0)+(0)+(Inputs!$B$45)+(Inputs!$B$68*12*Inputs!$B$36)</f>
        <v>25080</v>
      </c>
      <c r="H23" s="7" t="n">
        <f aca="false">F23+G23+$D$10*Inputs!$B$48+Inputs!$B$51+IF(Inputs!$B$13=0,(F23+G23)*(Inputs!$B$12-1),(F23+G23)*(((1+Inputs!$B$13)^Inputs!$B$12-(1+Inputs!$B$13))/Inputs!$B$13))</f>
        <v>718800</v>
      </c>
      <c r="I23" s="8" t="n">
        <f aca="false">($E$6*Inputs!$B$25*12)+($E$7*Inputs!$B$25*12)+($E$5*Inputs!$B$27*12)+(0)</f>
        <v>32400</v>
      </c>
      <c r="J23" s="8" t="n">
        <f aca="false">(0)+(0)+(0)+(Inputs!$B$45)+(Inputs!$B$68*12*Inputs!$B$36)</f>
        <v>25080</v>
      </c>
      <c r="K23" s="7" t="n">
        <f aca="false">I23+J23+$E$10*Inputs!$B$48+Inputs!$B$51+IF(Inputs!$B$13=0,(I23+J23)*(Inputs!$B$12-1),(I23+J23)*(((1+Inputs!$B$13)^Inputs!$B$12-(1+Inputs!$B$13))/Inputs!$B$13))</f>
        <v>1137400</v>
      </c>
    </row>
    <row r="24" customFormat="false" ht="15" hidden="false" customHeight="false" outlineLevel="0" collapsed="false">
      <c r="A24" s="27" t="s">
        <v>39</v>
      </c>
      <c r="B24" s="27" t="s">
        <v>43</v>
      </c>
      <c r="C24" s="30" t="n">
        <f aca="false">($C$6*Inputs!$B$26*12)+($C$7*Inputs!$B$26*12)+($C$5*Inputs!$B$27*12)+(Inputs!$B$29*12)</f>
        <v>16200</v>
      </c>
      <c r="D24" s="30" t="n">
        <f aca="false">(0)+(0)+(0)+(Inputs!$B$45)+(Inputs!$B$68*12*Inputs!$B$36)</f>
        <v>25080</v>
      </c>
      <c r="E24" s="31" t="n">
        <f aca="false">C24+D24+$C$10*Inputs!$B$48+Inputs!$B$51+IF(Inputs!$B$13=0,(C24+D24)*(Inputs!$B$12-1),(C24+D24)*(((1+Inputs!$B$13)^Inputs!$B$12-(1+Inputs!$B$13))/Inputs!$B$13))</f>
        <v>448400</v>
      </c>
      <c r="F24" s="30" t="n">
        <f aca="false">($D$6*Inputs!$B$26*12)+($D$7*Inputs!$B$26*12)+($D$5*Inputs!$B$27*12)+(Inputs!$B$29*12)</f>
        <v>28800</v>
      </c>
      <c r="G24" s="30" t="n">
        <f aca="false">(0)+(0)+(0)+(Inputs!$B$45)+(Inputs!$B$68*12*Inputs!$B$36)</f>
        <v>25080</v>
      </c>
      <c r="H24" s="31" t="n">
        <f aca="false">F24+G24+$D$10*Inputs!$B$48+Inputs!$B$51+IF(Inputs!$B$13=0,(F24+G24)*(Inputs!$B$12-1),(F24+G24)*(((1+Inputs!$B$13)^Inputs!$B$12-(1+Inputs!$B$13))/Inputs!$B$13))</f>
        <v>767400</v>
      </c>
      <c r="I24" s="30" t="n">
        <f aca="false">($E$6*Inputs!$B$26*12)+($E$7*Inputs!$B$26*12)+($E$5*Inputs!$B$27*12)+(Inputs!$B$29*12)</f>
        <v>45000</v>
      </c>
      <c r="J24" s="30" t="n">
        <f aca="false">(0)+(0)+(0)+(Inputs!$B$45)+(Inputs!$B$68*12*Inputs!$B$36)</f>
        <v>25080</v>
      </c>
      <c r="K24" s="31" t="n">
        <f aca="false">I24+J24+$E$10*Inputs!$B$48+Inputs!$B$51+IF(Inputs!$B$13=0,(I24+J24)*(Inputs!$B$12-1),(I24+J24)*(((1+Inputs!$B$13)^Inputs!$B$12-(1+Inputs!$B$13))/Inputs!$B$13))</f>
        <v>1200400</v>
      </c>
    </row>
    <row r="25" customFormat="false" ht="15" hidden="false" customHeight="false" outlineLevel="0" collapsed="false">
      <c r="A25" s="29" t="s">
        <v>327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customFormat="false" ht="15" hidden="false" customHeight="false" outlineLevel="0" collapsed="false">
      <c r="A26" s="5" t="s">
        <v>47</v>
      </c>
      <c r="B26" s="5" t="s">
        <v>15</v>
      </c>
      <c r="C26" s="8" t="n">
        <f aca="false">($C$6*Inputs!$B$17*12)+($C$7*Inputs!$B$17*12)+($C$5*Inputs!$B$17*12)+(0)</f>
        <v>20160</v>
      </c>
      <c r="D26" s="8" t="n">
        <f aca="false">(0)+(0)+(0)+(Inputs!$B$42)+(Inputs!$B$66*12*Inputs!$B$36)</f>
        <v>30800</v>
      </c>
      <c r="E26" s="7" t="n">
        <f aca="false">C26+D26+$C$10*Inputs!$B$46+Inputs!$B$49+IF(Inputs!$B$13=0,(C26+D26)*(Inputs!$B$12-1),(C26+D26)*(((1+Inputs!$B$13)^Inputs!$B$12-(1+Inputs!$B$13))/Inputs!$B$13))</f>
        <v>434800</v>
      </c>
      <c r="F26" s="8" t="n">
        <f aca="false">($D$6*Inputs!$B$17*12)+($D$7*Inputs!$B$17*12)+($D$5*Inputs!$B$17*12)+(0)</f>
        <v>47880</v>
      </c>
      <c r="G26" s="8" t="n">
        <f aca="false">(0)+(0)+(0)+(Inputs!$B$42)+(Inputs!$B$66*12*Inputs!$B$36)</f>
        <v>30800</v>
      </c>
      <c r="H26" s="7" t="n">
        <f aca="false">F26+G26+$D$10*Inputs!$B$46+Inputs!$B$49+IF(Inputs!$B$13=0,(F26+G26)*(Inputs!$B$12-1),(F26+G26)*(((1+Inputs!$B$13)^Inputs!$B$12-(1+Inputs!$B$13))/Inputs!$B$13))</f>
        <v>773400</v>
      </c>
      <c r="I26" s="8" t="n">
        <f aca="false">($E$6*Inputs!$B$17*12)+($E$7*Inputs!$B$17*12)+($E$5*Inputs!$B$17*12)+(0)</f>
        <v>92400</v>
      </c>
      <c r="J26" s="8" t="n">
        <f aca="false">(0)+(0)+(0)+(Inputs!$B$42)+(Inputs!$B$66*12*Inputs!$B$36)</f>
        <v>30800</v>
      </c>
      <c r="K26" s="7" t="n">
        <f aca="false">I26+J26+$E$10*Inputs!$B$46+Inputs!$B$49+IF(Inputs!$B$13=0,(I26+J26)*(Inputs!$B$12-1),(I26+J26)*(((1+Inputs!$B$13)^Inputs!$B$12-(1+Inputs!$B$13))/Inputs!$B$13))</f>
        <v>1271000</v>
      </c>
    </row>
    <row r="27" customFormat="false" ht="15" hidden="false" customHeight="false" outlineLevel="0" collapsed="false">
      <c r="A27" s="5" t="s">
        <v>47</v>
      </c>
      <c r="B27" s="5" t="s">
        <v>18</v>
      </c>
      <c r="C27" s="8" t="n">
        <f aca="false">($C$6*Inputs!$B$18*12)+($C$7*Inputs!$B$18*12)+($C$5*Inputs!$B$18*12)+(0)</f>
        <v>34560</v>
      </c>
      <c r="D27" s="8" t="n">
        <f aca="false">(0)+(0)+(0)+(Inputs!$B$42)+(Inputs!$B$66*12*Inputs!$B$36)</f>
        <v>30800</v>
      </c>
      <c r="E27" s="7" t="n">
        <f aca="false">C27+D27+$C$10*Inputs!$B$46+Inputs!$B$49+IF(Inputs!$B$13=0,(C27+D27)*(Inputs!$B$12-1),(C27+D27)*(((1+Inputs!$B$13)^Inputs!$B$12-(1+Inputs!$B$13))/Inputs!$B$13))</f>
        <v>506800</v>
      </c>
      <c r="F27" s="8" t="n">
        <f aca="false">($D$6*Inputs!$B$18*12)+($D$7*Inputs!$B$18*12)+($D$5*Inputs!$B$18*12)+(0)</f>
        <v>82080</v>
      </c>
      <c r="G27" s="8" t="n">
        <f aca="false">(0)+(0)+(0)+(Inputs!$B$42)+(Inputs!$B$66*12*Inputs!$B$36)</f>
        <v>30800</v>
      </c>
      <c r="H27" s="7" t="n">
        <f aca="false">F27+G27+$D$10*Inputs!$B$46+Inputs!$B$49+IF(Inputs!$B$13=0,(F27+G27)*(Inputs!$B$12-1),(F27+G27)*(((1+Inputs!$B$13)^Inputs!$B$12-(1+Inputs!$B$13))/Inputs!$B$13))</f>
        <v>944400</v>
      </c>
      <c r="I27" s="8" t="n">
        <f aca="false">($E$6*Inputs!$B$18*12)+($E$7*Inputs!$B$18*12)+($E$5*Inputs!$B$18*12)+(0)</f>
        <v>158400</v>
      </c>
      <c r="J27" s="8" t="n">
        <f aca="false">(0)+(0)+(0)+(Inputs!$B$42)+(Inputs!$B$66*12*Inputs!$B$36)</f>
        <v>30800</v>
      </c>
      <c r="K27" s="7" t="n">
        <f aca="false">I27+J27+$E$10*Inputs!$B$46+Inputs!$B$49+IF(Inputs!$B$13=0,(I27+J27)*(Inputs!$B$12-1),(I27+J27)*(((1+Inputs!$B$13)^Inputs!$B$12-(1+Inputs!$B$13))/Inputs!$B$13))</f>
        <v>1601000</v>
      </c>
    </row>
    <row r="28" customFormat="false" ht="15" hidden="false" customHeight="false" outlineLevel="0" collapsed="false">
      <c r="A28" s="10" t="s">
        <v>47</v>
      </c>
      <c r="B28" s="10" t="s">
        <v>21</v>
      </c>
      <c r="C28" s="12" t="n">
        <f aca="false">($C$6*Inputs!$B$17*12)+($C$7*Inputs!$B$17*12)+(0)+(Inputs!$B$34*12)</f>
        <v>63392.04</v>
      </c>
      <c r="D28" s="12" t="n">
        <f aca="false">(0)+(0)+(0)+(Inputs!$B$42)+(Inputs!$B$66*12*Inputs!$B$36)</f>
        <v>30800</v>
      </c>
      <c r="E28" s="11" t="n">
        <f aca="false">C28+D28+$C$10*Inputs!$B$46+Inputs!$B$49+IF(Inputs!$B$13=0,(C28+D28)*(Inputs!$B$12-1),(C28+D28)*(((1+Inputs!$B$13)^Inputs!$B$12-(1+Inputs!$B$13))/Inputs!$B$13))</f>
        <v>650960.2</v>
      </c>
      <c r="F28" s="12" t="n">
        <f aca="false">($D$6*Inputs!$B$17*12)+($D$7*Inputs!$B$17*12)+(0)+(Inputs!$B$34*12)</f>
        <v>65912.04</v>
      </c>
      <c r="G28" s="12" t="n">
        <f aca="false">(0)+(0)+(0)+(Inputs!$B$42)+(Inputs!$B$66*12*Inputs!$B$36)</f>
        <v>30800</v>
      </c>
      <c r="H28" s="11" t="n">
        <f aca="false">F28+G28+$D$10*Inputs!$B$46+Inputs!$B$49+IF(Inputs!$B$13=0,(F28+G28)*(Inputs!$B$12-1),(F28+G28)*(((1+Inputs!$B$13)^Inputs!$B$12-(1+Inputs!$B$13))/Inputs!$B$13))</f>
        <v>863560.2</v>
      </c>
      <c r="I28" s="12" t="n">
        <f aca="false">($E$6*Inputs!$B$17*12)+($E$7*Inputs!$B$17*12)+(0)+(Inputs!$B$34*12)</f>
        <v>68432.04</v>
      </c>
      <c r="J28" s="12" t="n">
        <f aca="false">(0)+(0)+(0)+(Inputs!$B$42)+(Inputs!$B$66*12*Inputs!$B$36)</f>
        <v>30800</v>
      </c>
      <c r="K28" s="11" t="n">
        <f aca="false">I28+J28+$E$10*Inputs!$B$46+Inputs!$B$49+IF(Inputs!$B$13=0,(I28+J28)*(Inputs!$B$12-1),(I28+J28)*(((1+Inputs!$B$13)^Inputs!$B$12-(1+Inputs!$B$13))/Inputs!$B$13))</f>
        <v>1151160.2</v>
      </c>
    </row>
    <row r="29" customFormat="false" ht="15" hidden="false" customHeight="false" outlineLevel="0" collapsed="false">
      <c r="A29" s="5" t="s">
        <v>47</v>
      </c>
      <c r="B29" s="5" t="s">
        <v>24</v>
      </c>
      <c r="C29" s="8" t="n">
        <f aca="false">($C$6*Inputs!$B$17*12)+($C$7*Inputs!$B$17*12)+(0)+(Inputs!$B$33*12)</f>
        <v>104275.2</v>
      </c>
      <c r="D29" s="8" t="n">
        <f aca="false">(0)+(0)+(0)+(Inputs!$B$42)+(Inputs!$B$66*12*Inputs!$B$36)</f>
        <v>30800</v>
      </c>
      <c r="E29" s="7" t="n">
        <f aca="false">C29+D29+$C$10*Inputs!$B$46+Inputs!$B$49+IF(Inputs!$B$13=0,(C29+D29)*(Inputs!$B$12-1),(C29+D29)*(((1+Inputs!$B$13)^Inputs!$B$12-(1+Inputs!$B$13))/Inputs!$B$13))</f>
        <v>855376</v>
      </c>
      <c r="F29" s="8" t="n">
        <f aca="false">($D$6*Inputs!$B$17*12)+($D$7*Inputs!$B$17*12)+(0)+(Inputs!$B$33*12)</f>
        <v>106795.2</v>
      </c>
      <c r="G29" s="8" t="n">
        <f aca="false">(0)+(0)+(0)+(Inputs!$B$42)+(Inputs!$B$66*12*Inputs!$B$36)</f>
        <v>30800</v>
      </c>
      <c r="H29" s="7" t="n">
        <f aca="false">F29+G29+$D$10*Inputs!$B$46+Inputs!$B$49+IF(Inputs!$B$13=0,(F29+G29)*(Inputs!$B$12-1),(F29+G29)*(((1+Inputs!$B$13)^Inputs!$B$12-(1+Inputs!$B$13))/Inputs!$B$13))</f>
        <v>1067976</v>
      </c>
      <c r="I29" s="8" t="n">
        <f aca="false">($E$6*Inputs!$B$17*12)+($E$7*Inputs!$B$17*12)+(0)+(Inputs!$B$33*12)</f>
        <v>109315.2</v>
      </c>
      <c r="J29" s="8" t="n">
        <f aca="false">(0)+(0)+(0)+(Inputs!$B$42)+(Inputs!$B$66*12*Inputs!$B$36)</f>
        <v>30800</v>
      </c>
      <c r="K29" s="7" t="n">
        <f aca="false">I29+J29+$E$10*Inputs!$B$46+Inputs!$B$49+IF(Inputs!$B$13=0,(I29+J29)*(Inputs!$B$12-1),(I29+J29)*(((1+Inputs!$B$13)^Inputs!$B$12-(1+Inputs!$B$13))/Inputs!$B$13))</f>
        <v>1355576</v>
      </c>
    </row>
    <row r="30" customFormat="false" ht="15" hidden="false" customHeight="false" outlineLevel="0" collapsed="false">
      <c r="A30" s="5" t="s">
        <v>47</v>
      </c>
      <c r="B30" s="5" t="s">
        <v>27</v>
      </c>
      <c r="C30" s="8" t="n">
        <f aca="false">($C$6*Inputs!$B$17*12)+($C$7*Inputs!$B$17*12)+(0)+(Inputs!$B$35*12)</f>
        <v>63300</v>
      </c>
      <c r="D30" s="8" t="n">
        <f aca="false">(0)+(0)+(0)+(Inputs!$B$42)+(Inputs!$B$66*12*Inputs!$B$36)</f>
        <v>30800</v>
      </c>
      <c r="E30" s="7" t="n">
        <f aca="false">C30+D30+$C$10*Inputs!$B$46+Inputs!$B$49+IF(Inputs!$B$13=0,(C30+D30)*(Inputs!$B$12-1),(C30+D30)*(((1+Inputs!$B$13)^Inputs!$B$12-(1+Inputs!$B$13))/Inputs!$B$13))</f>
        <v>650500</v>
      </c>
      <c r="F30" s="8" t="n">
        <f aca="false">($D$6*Inputs!$B$17*12)+($D$7*Inputs!$B$17*12)+(0)+(Inputs!$B$35*12)</f>
        <v>65820</v>
      </c>
      <c r="G30" s="8" t="n">
        <f aca="false">(0)+(0)+(0)+(Inputs!$B$42)+(Inputs!$B$66*12*Inputs!$B$36)</f>
        <v>30800</v>
      </c>
      <c r="H30" s="7" t="n">
        <f aca="false">F30+G30+$D$10*Inputs!$B$46+Inputs!$B$49+IF(Inputs!$B$13=0,(F30+G30)*(Inputs!$B$12-1),(F30+G30)*(((1+Inputs!$B$13)^Inputs!$B$12-(1+Inputs!$B$13))/Inputs!$B$13))</f>
        <v>863100</v>
      </c>
      <c r="I30" s="8" t="n">
        <f aca="false">($E$6*Inputs!$B$17*12)+($E$7*Inputs!$B$17*12)+(0)+(Inputs!$B$35*12)</f>
        <v>68340</v>
      </c>
      <c r="J30" s="8" t="n">
        <f aca="false">(0)+(0)+(0)+(Inputs!$B$42)+(Inputs!$B$66*12*Inputs!$B$36)</f>
        <v>30800</v>
      </c>
      <c r="K30" s="7" t="n">
        <f aca="false">I30+J30+$E$10*Inputs!$B$46+Inputs!$B$49+IF(Inputs!$B$13=0,(I30+J30)*(Inputs!$B$12-1),(I30+J30)*(((1+Inputs!$B$13)^Inputs!$B$12-(1+Inputs!$B$13))/Inputs!$B$13))</f>
        <v>1150700</v>
      </c>
    </row>
    <row r="31" customFormat="false" ht="15" hidden="false" customHeight="false" outlineLevel="0" collapsed="false">
      <c r="A31" s="5" t="s">
        <v>53</v>
      </c>
      <c r="B31" s="5" t="s">
        <v>31</v>
      </c>
      <c r="C31" s="8" t="n">
        <f aca="false">($C$6*Inputs!$B$19*12)+($C$7*Inputs!$B$20*12)+($C$5*Inputs!$B$21*12)+(0)</f>
        <v>32040</v>
      </c>
      <c r="D31" s="8" t="n">
        <f aca="false">($C$9*1000*12*Inputs!$B$55*Inputs!$B$60)+(Inputs!$B$59*Inputs!$B$60*($C$5/Inputs!$B$6))+(0)+(Inputs!$B$43+IF(Inputs!$B$60&gt;0,Inputs!$B$64,0))+(Inputs!$B$67*12*Inputs!$B$36)</f>
        <v>46410</v>
      </c>
      <c r="E31" s="7" t="n">
        <f aca="false">C31+D31+$C$10*Inputs!$B$47+Inputs!$B$50+IF(Inputs!$B$13=0,(C31+D31)*(Inputs!$B$12-1),(C31+D31)*(((1+Inputs!$B$13)^Inputs!$B$12-(1+Inputs!$B$13))/Inputs!$B$13))</f>
        <v>579250</v>
      </c>
      <c r="F31" s="8" t="n">
        <f aca="false">($D$6*Inputs!$B$19*12)+($D$7*Inputs!$B$20*12)+($D$5*Inputs!$B$21*12)+(0)</f>
        <v>68580</v>
      </c>
      <c r="G31" s="8" t="n">
        <f aca="false">($D$9*1000*12*Inputs!$B$55*Inputs!$B$60)+(Inputs!$B$59*Inputs!$B$60*($D$5/Inputs!$B$6))+(0)+(Inputs!$B$43+IF(Inputs!$B$60&gt;0,Inputs!$B$64,0))+(Inputs!$B$67*12*Inputs!$B$36)</f>
        <v>49920</v>
      </c>
      <c r="H31" s="7" t="n">
        <f aca="false">F31+G31+$D$10*Inputs!$B$47+Inputs!$B$50+IF(Inputs!$B$13=0,(F31+G31)*(Inputs!$B$12-1),(F31+G31)*(((1+Inputs!$B$13)^Inputs!$B$12-(1+Inputs!$B$13))/Inputs!$B$13))</f>
        <v>995500</v>
      </c>
      <c r="I31" s="8" t="n">
        <f aca="false">($E$6*Inputs!$B$19*12)+($E$7*Inputs!$B$20*12)+($E$5*Inputs!$B$21*12)+(0)</f>
        <v>125100</v>
      </c>
      <c r="J31" s="8" t="n">
        <f aca="false">($E$9*1000*12*Inputs!$B$55*Inputs!$B$60)+(Inputs!$B$59*Inputs!$B$60*($E$5/Inputs!$B$6))+(0)+(Inputs!$B$43+IF(Inputs!$B$60&gt;0,Inputs!$B$64,0))+(Inputs!$B$67*12*Inputs!$B$36)</f>
        <v>56850</v>
      </c>
      <c r="K31" s="7" t="n">
        <f aca="false">I31+J31+$E$10*Inputs!$B$47+Inputs!$B$50+IF(Inputs!$B$13=0,(I31+J31)*(Inputs!$B$12-1),(I31+J31)*(((1+Inputs!$B$13)^Inputs!$B$12-(1+Inputs!$B$13))/Inputs!$B$13))</f>
        <v>1609750</v>
      </c>
    </row>
    <row r="32" customFormat="false" ht="15" hidden="false" customHeight="false" outlineLevel="0" collapsed="false">
      <c r="A32" s="27" t="s">
        <v>53</v>
      </c>
      <c r="B32" s="27" t="s">
        <v>33</v>
      </c>
      <c r="C32" s="30" t="n">
        <f aca="false">($C$6*Inputs!$B$22*12)+($C$7*Inputs!$B$23*12)+($C$5*Inputs!$B$24*12)+(0)</f>
        <v>64200</v>
      </c>
      <c r="D32" s="30" t="n">
        <f aca="false">($C$9*1000*12*Inputs!$B$55*Inputs!$B$60)+(Inputs!$B$59*Inputs!$B$60*($C$5/Inputs!$B$6))+(0)+(Inputs!$B$43+IF(Inputs!$B$60&gt;0,Inputs!$B$64,0))+(Inputs!$B$67*12*Inputs!$B$36)</f>
        <v>46410</v>
      </c>
      <c r="E32" s="31" t="n">
        <f aca="false">C32+D32+$C$10*Inputs!$B$47+Inputs!$B$50+IF(Inputs!$B$13=0,(C32+D32)*(Inputs!$B$12-1),(C32+D32)*(((1+Inputs!$B$13)^Inputs!$B$12-(1+Inputs!$B$13))/Inputs!$B$13))</f>
        <v>740050</v>
      </c>
      <c r="F32" s="30" t="n">
        <f aca="false">($D$6*Inputs!$B$22*12)+($D$7*Inputs!$B$23*12)+($D$5*Inputs!$B$24*12)+(0)</f>
        <v>142500</v>
      </c>
      <c r="G32" s="30" t="n">
        <f aca="false">($D$9*1000*12*Inputs!$B$55*Inputs!$B$60)+(Inputs!$B$59*Inputs!$B$60*($D$5/Inputs!$B$6))+(0)+(Inputs!$B$43+IF(Inputs!$B$60&gt;0,Inputs!$B$64,0))+(Inputs!$B$67*12*Inputs!$B$36)</f>
        <v>49920</v>
      </c>
      <c r="H32" s="31" t="n">
        <f aca="false">F32+G32+$D$10*Inputs!$B$47+Inputs!$B$50+IF(Inputs!$B$13=0,(F32+G32)*(Inputs!$B$12-1),(F32+G32)*(((1+Inputs!$B$13)^Inputs!$B$12-(1+Inputs!$B$13))/Inputs!$B$13))</f>
        <v>1365100</v>
      </c>
      <c r="I32" s="30" t="n">
        <f aca="false">($E$6*Inputs!$B$22*12)+($E$7*Inputs!$B$23*12)+($E$5*Inputs!$B$24*12)+(0)</f>
        <v>265500</v>
      </c>
      <c r="J32" s="30" t="n">
        <f aca="false">($E$9*1000*12*Inputs!$B$55*Inputs!$B$60)+(Inputs!$B$59*Inputs!$B$60*($E$5/Inputs!$B$6))+(0)+(Inputs!$B$43+IF(Inputs!$B$60&gt;0,Inputs!$B$64,0))+(Inputs!$B$67*12*Inputs!$B$36)</f>
        <v>56850</v>
      </c>
      <c r="K32" s="31" t="n">
        <f aca="false">I32+J32+$E$10*Inputs!$B$47+Inputs!$B$50+IF(Inputs!$B$13=0,(I32+J32)*(Inputs!$B$12-1),(I32+J32)*(((1+Inputs!$B$13)^Inputs!$B$12-(1+Inputs!$B$13))/Inputs!$B$13))</f>
        <v>2311750</v>
      </c>
    </row>
    <row r="33" customFormat="false" ht="15" hidden="false" customHeight="false" outlineLevel="0" collapsed="false">
      <c r="A33" s="5" t="s">
        <v>55</v>
      </c>
      <c r="B33" s="5" t="s">
        <v>31</v>
      </c>
      <c r="C33" s="8" t="n">
        <f aca="false">($C$6*Inputs!$B$19*12)+($C$7*Inputs!$B$20*12)+($C$5*Inputs!$B$21*12)+(0)</f>
        <v>32040</v>
      </c>
      <c r="D33" s="8" t="n">
        <f aca="false">(0)+(0)+(Inputs!$B$40)+(Inputs!$B$44)+(Inputs!$B$67*12*Inputs!$B$36)</f>
        <v>85800</v>
      </c>
      <c r="E33" s="7" t="n">
        <f aca="false">C33+D33+$C$10*Inputs!$B$47+Inputs!$B$50+IF(Inputs!$B$13=0,(C33+D33)*(Inputs!$B$12-1),(C33+D33)*(((1+Inputs!$B$13)^Inputs!$B$12-(1+Inputs!$B$13))/Inputs!$B$13))</f>
        <v>776200</v>
      </c>
      <c r="F33" s="8" t="n">
        <f aca="false">($D$6*Inputs!$B$19*12)+($D$7*Inputs!$B$20*12)+($D$5*Inputs!$B$21*12)+(0)</f>
        <v>68580</v>
      </c>
      <c r="G33" s="8" t="n">
        <f aca="false">(0)+(0)+(Inputs!$B$40)+(Inputs!$B$44)+(Inputs!$B$67*12*Inputs!$B$36)</f>
        <v>85800</v>
      </c>
      <c r="H33" s="7" t="n">
        <f aca="false">F33+G33+$D$10*Inputs!$B$47+Inputs!$B$50+IF(Inputs!$B$13=0,(F33+G33)*(Inputs!$B$12-1),(F33+G33)*(((1+Inputs!$B$13)^Inputs!$B$12-(1+Inputs!$B$13))/Inputs!$B$13))</f>
        <v>1174900</v>
      </c>
      <c r="I33" s="8" t="n">
        <f aca="false">($E$6*Inputs!$B$19*12)+($E$7*Inputs!$B$20*12)+($E$5*Inputs!$B$21*12)+(0)</f>
        <v>125100</v>
      </c>
      <c r="J33" s="8" t="n">
        <f aca="false">(0)+(0)+(Inputs!$B$40)+(Inputs!$B$44)+(Inputs!$B$67*12*Inputs!$B$36)</f>
        <v>85800</v>
      </c>
      <c r="K33" s="7" t="n">
        <f aca="false">I33+J33+$E$10*Inputs!$B$47+Inputs!$B$50+IF(Inputs!$B$13=0,(I33+J33)*(Inputs!$B$12-1),(I33+J33)*(((1+Inputs!$B$13)^Inputs!$B$12-(1+Inputs!$B$13))/Inputs!$B$13))</f>
        <v>1754500</v>
      </c>
    </row>
    <row r="34" customFormat="false" ht="15" hidden="false" customHeight="false" outlineLevel="0" collapsed="false">
      <c r="A34" s="5" t="s">
        <v>56</v>
      </c>
      <c r="B34" s="5" t="s">
        <v>40</v>
      </c>
      <c r="C34" s="8" t="n">
        <f aca="false">($C$6*Inputs!$B$25*12)+($C$7*Inputs!$B$25*12)+($C$5*Inputs!$B$27*12)+(0)</f>
        <v>9360</v>
      </c>
      <c r="D34" s="8" t="n">
        <f aca="false">($C$9*1000*12*Inputs!$B$55*Inputs!$B$62)+(Inputs!$B$59*Inputs!$B$62*($C$5/Inputs!$B$6))+(0)+(Inputs!$B$45+Inputs!$B$65)+(Inputs!$B$68*12*Inputs!$B$36)</f>
        <v>41082</v>
      </c>
      <c r="E34" s="7" t="n">
        <f aca="false">C34+D34+$C$10*Inputs!$B$48+Inputs!$B$51+IF(Inputs!$B$13=0,(C34+D34)*(Inputs!$B$12-1),(C34+D34)*(((1+Inputs!$B$13)^Inputs!$B$12-(1+Inputs!$B$13))/Inputs!$B$13))</f>
        <v>494210</v>
      </c>
      <c r="F34" s="8" t="n">
        <f aca="false">($D$6*Inputs!$B$25*12)+($D$7*Inputs!$B$25*12)+($D$5*Inputs!$B$27*12)+(0)</f>
        <v>19080</v>
      </c>
      <c r="G34" s="8" t="n">
        <f aca="false">($D$9*1000*12*Inputs!$B$55*Inputs!$B$62)+(Inputs!$B$59*Inputs!$B$62*($D$5/Inputs!$B$6))+(0)+(Inputs!$B$45+Inputs!$B$65)+(Inputs!$B$68*12*Inputs!$B$36)</f>
        <v>46464</v>
      </c>
      <c r="H34" s="7" t="n">
        <f aca="false">F34+G34+$D$10*Inputs!$B$48+Inputs!$B$51+IF(Inputs!$B$13=0,(F34+G34)*(Inputs!$B$12-1),(F34+G34)*(((1+Inputs!$B$13)^Inputs!$B$12-(1+Inputs!$B$13))/Inputs!$B$13))</f>
        <v>825720</v>
      </c>
      <c r="I34" s="8" t="n">
        <f aca="false">($E$6*Inputs!$B$25*12)+($E$7*Inputs!$B$25*12)+($E$5*Inputs!$B$27*12)+(0)</f>
        <v>32400</v>
      </c>
      <c r="J34" s="8" t="n">
        <f aca="false">($E$9*1000*12*Inputs!$B$55*Inputs!$B$62)+(Inputs!$B$59*Inputs!$B$62*($E$5/Inputs!$B$6))+(0)+(Inputs!$B$45+Inputs!$B$65)+(Inputs!$B$68*12*Inputs!$B$36)</f>
        <v>57090</v>
      </c>
      <c r="K34" s="7" t="n">
        <f aca="false">I34+J34+$E$10*Inputs!$B$48+Inputs!$B$51+IF(Inputs!$B$13=0,(I34+J34)*(Inputs!$B$12-1),(I34+J34)*(((1+Inputs!$B$13)^Inputs!$B$12-(1+Inputs!$B$13))/Inputs!$B$13))</f>
        <v>1297450</v>
      </c>
    </row>
    <row r="35" customFormat="false" ht="15" hidden="false" customHeight="false" outlineLevel="0" collapsed="false">
      <c r="A35" s="27" t="s">
        <v>56</v>
      </c>
      <c r="B35" s="27" t="s">
        <v>43</v>
      </c>
      <c r="C35" s="30" t="n">
        <f aca="false">($C$6*Inputs!$B$26*12)+($C$7*Inputs!$B$26*12)+($C$5*Inputs!$B$27*12)+(Inputs!$B$29*12)</f>
        <v>16200</v>
      </c>
      <c r="D35" s="30" t="n">
        <f aca="false">($C$9*1000*12*Inputs!$B$55*Inputs!$B$62)+(Inputs!$B$59*Inputs!$B$62*($C$5/Inputs!$B$6))+(0)+(Inputs!$B$45+Inputs!$B$65)+(Inputs!$B$68*12*Inputs!$B$36)</f>
        <v>41082</v>
      </c>
      <c r="E35" s="31" t="n">
        <f aca="false">C35+D35+$C$10*Inputs!$B$48+Inputs!$B$51+IF(Inputs!$B$13=0,(C35+D35)*(Inputs!$B$12-1),(C35+D35)*(((1+Inputs!$B$13)^Inputs!$B$12-(1+Inputs!$B$13))/Inputs!$B$13))</f>
        <v>528410</v>
      </c>
      <c r="F35" s="30" t="n">
        <f aca="false">($D$6*Inputs!$B$26*12)+($D$7*Inputs!$B$26*12)+($D$5*Inputs!$B$27*12)+(Inputs!$B$29*12)</f>
        <v>28800</v>
      </c>
      <c r="G35" s="30" t="n">
        <f aca="false">($D$9*1000*12*Inputs!$B$55*Inputs!$B$62)+(Inputs!$B$59*Inputs!$B$62*($D$5/Inputs!$B$6))+(0)+(Inputs!$B$45+Inputs!$B$65)+(Inputs!$B$68*12*Inputs!$B$36)</f>
        <v>46464</v>
      </c>
      <c r="H35" s="31" t="n">
        <f aca="false">F35+G35+$D$10*Inputs!$B$48+Inputs!$B$51+IF(Inputs!$B$13=0,(F35+G35)*(Inputs!$B$12-1),(F35+G35)*(((1+Inputs!$B$13)^Inputs!$B$12-(1+Inputs!$B$13))/Inputs!$B$13))</f>
        <v>874320</v>
      </c>
      <c r="I35" s="30" t="n">
        <f aca="false">($E$6*Inputs!$B$26*12)+($E$7*Inputs!$B$26*12)+($E$5*Inputs!$B$27*12)+(Inputs!$B$29*12)</f>
        <v>45000</v>
      </c>
      <c r="J35" s="30" t="n">
        <f aca="false">($E$9*1000*12*Inputs!$B$55*Inputs!$B$62)+(Inputs!$B$59*Inputs!$B$62*($E$5/Inputs!$B$6))+(0)+(Inputs!$B$45+Inputs!$B$65)+(Inputs!$B$68*12*Inputs!$B$36)</f>
        <v>57090</v>
      </c>
      <c r="K35" s="31" t="n">
        <f aca="false">I35+J35+$E$10*Inputs!$B$48+Inputs!$B$51+IF(Inputs!$B$13=0,(I35+J35)*(Inputs!$B$12-1),(I35+J35)*(((1+Inputs!$B$13)^Inputs!$B$12-(1+Inputs!$B$13))/Inputs!$B$13))</f>
        <v>1360450</v>
      </c>
    </row>
    <row r="37" customFormat="false" ht="15" hidden="false" customHeight="false" outlineLevel="0" collapsed="false">
      <c r="A37" s="15" t="s">
        <v>339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customFormat="false" ht="30" hidden="false" customHeight="true" outlineLevel="0" collapsed="false">
      <c r="A38" s="2" t="s">
        <v>340</v>
      </c>
      <c r="B38" s="3" t="s">
        <v>3</v>
      </c>
      <c r="C38" s="3" t="s">
        <v>332</v>
      </c>
      <c r="D38" s="3"/>
      <c r="E38" s="3"/>
      <c r="F38" s="3" t="s">
        <v>333</v>
      </c>
      <c r="G38" s="3"/>
      <c r="H38" s="3"/>
      <c r="I38" s="3" t="s">
        <v>334</v>
      </c>
      <c r="J38" s="3"/>
      <c r="K38" s="3"/>
    </row>
    <row r="39" customFormat="false" ht="30" hidden="false" customHeight="true" outlineLevel="0" collapsed="false">
      <c r="A39" s="16" t="s">
        <v>341</v>
      </c>
      <c r="B39" s="5" t="s">
        <v>13</v>
      </c>
      <c r="C39" s="5" t="str">
        <f aca="false">INDEX($A$15:$A$24,MATCH(MIN(E15,E16,E17,E18,E20,E21,E22,E23,E24),E15:E24,0))&amp;" - "&amp;INDEX($B$15:$B$24,MATCH(MIN(E15,E16,E17,E18,E20,E21,E22,E23,E24),E15:E24,0))</f>
        <v>QuickSight + Snowflake AWS - Standard Author + Reader</v>
      </c>
      <c r="D39" s="5"/>
      <c r="E39" s="7" t="n">
        <f aca="false">MIN(E15,E16,E17,E18,E20,E21,E22,E23,E24)</f>
        <v>414200</v>
      </c>
      <c r="F39" s="5" t="str">
        <f aca="false">INDEX($A$15:$A$24,MATCH(MIN(H15,H16,H17,H18,H20,H21,H22,H23,H24),H15:H24,0))&amp;" - "&amp;INDEX($B$15:$B$24,MATCH(MIN(H15,H16,H17,H18,H20,H21,H22,H23,H24),H15:H24,0))</f>
        <v>QuickSight + Snowflake AWS - Standard Author + Reader</v>
      </c>
      <c r="G39" s="5"/>
      <c r="H39" s="7" t="n">
        <f aca="false">MIN(H15,H16,H17,H18,H20,H21,H22,H23,H24)</f>
        <v>718800</v>
      </c>
      <c r="I39" s="5" t="str">
        <f aca="false">INDEX($A$15:$A$24,MATCH(MIN(K15,K16,K17,K18,K20,K21,K22,K23,K24),K15:K24,0))&amp;" - "&amp;INDEX($B$15:$B$24,MATCH(MIN(K15,K16,K17,K18,K20,K21,K22,K23,K24),K15:K24,0))</f>
        <v>QuickSight + Snowflake AWS - Standard Author + Reader</v>
      </c>
      <c r="J39" s="5"/>
      <c r="K39" s="7" t="n">
        <f aca="false">MIN(K15,K16,K17,K18,K20,K21,K22,K23,K24)</f>
        <v>1137400</v>
      </c>
    </row>
    <row r="40" customFormat="false" ht="30" hidden="false" customHeight="true" outlineLevel="0" collapsed="false">
      <c r="A40" s="16" t="s">
        <v>342</v>
      </c>
      <c r="B40" s="5" t="s">
        <v>46</v>
      </c>
      <c r="C40" s="5" t="str">
        <f aca="false">INDEX($A$26:$A$35,MATCH(MIN(E26,E27,E28,E29,E31,E32,E33,E34,E35),E26:E35,0))&amp;" - "&amp;INDEX($B$26:$B$35,MATCH(MIN(E26,E27,E28,E29,E31,E32,E33,E34,E35),E26:E35,0))</f>
        <v>Power BI + Snowflake Azure - Pro - all named</v>
      </c>
      <c r="D40" s="5"/>
      <c r="E40" s="7" t="n">
        <f aca="false">MIN(E26,E27,E28,E29,E31,E32,E33,E34,E35)</f>
        <v>434800</v>
      </c>
      <c r="F40" s="5" t="str">
        <f aca="false">INDEX($A$26:$A$35,MATCH(MIN(H26,H27,H28,H29,H31,H32,H33,H34,H35),H26:H35,0))&amp;" - "&amp;INDEX($B$26:$B$35,MATCH(MIN(H26,H27,H28,H29,H31,H32,H33,H34,H35),H26:H35,0))</f>
        <v>Power BI + Snowflake Azure - Pro - all named</v>
      </c>
      <c r="G40" s="5"/>
      <c r="H40" s="7" t="n">
        <f aca="false">MIN(H26,H27,H28,H29,H31,H32,H33,H34,H35)</f>
        <v>773400</v>
      </c>
      <c r="I40" s="5" t="str">
        <f aca="false">INDEX($A$26:$A$35,MATCH(MIN(K26,K27,K28,K29,K31,K32,K33,K34,K35),K26:K35,0))&amp;" - "&amp;INDEX($B$26:$B$35,MATCH(MIN(K26,K27,K28,K29,K31,K32,K33,K34,K35),K26:K35,0))</f>
        <v>Power BI + Snowflake Azure - Fabric F64 Reserved + Pro</v>
      </c>
      <c r="J40" s="5"/>
      <c r="K40" s="7" t="n">
        <f aca="false">MIN(K26,K27,K28,K29,K31,K32,K33,K34,K35)</f>
        <v>1151160.2</v>
      </c>
    </row>
    <row r="41" customFormat="false" ht="30" hidden="false" customHeight="true" outlineLevel="0" collapsed="false">
      <c r="A41" s="16" t="s">
        <v>343</v>
      </c>
      <c r="B41" s="5" t="s">
        <v>344</v>
      </c>
      <c r="C41" s="5" t="str">
        <f aca="false">INDEX($A$15:$A$35,MATCH(MIN(E15,E16,E17,E18,E20,E21,E22,E23,E24,E26,E27,E28,E29,E31,E32,E33,E34,E35),E15:E35,0))&amp;" - "&amp;INDEX($B$15:$B$35,MATCH(MIN(E15,E16,E17,E18,E20,E21,E22,E23,E24,E26,E27,E28,E29,E31,E32,E33,E34,E35),E15:E35,0))</f>
        <v>QuickSight + Snowflake AWS - Standard Author + Reader</v>
      </c>
      <c r="D41" s="5"/>
      <c r="E41" s="7" t="n">
        <f aca="false">MIN(E15,E16,E17,E18,E20,E21,E22,E23,E24,E26,E27,E28,E29,E31,E32,E33,E34,E35)</f>
        <v>414200</v>
      </c>
      <c r="F41" s="5" t="str">
        <f aca="false">INDEX($A$15:$A$35,MATCH(MIN(H15,H16,H17,H18,H20,H21,H22,H23,H24,H26,H27,H28,H29,H31,H32,H33,H34,H35),H15:H35,0))&amp;" - "&amp;INDEX($B$15:$B$35,MATCH(MIN(H15,H16,H17,H18,H20,H21,H22,H23,H24,H26,H27,H28,H29,H31,H32,H33,H34,H35),H15:H35,0))</f>
        <v>QuickSight + Snowflake AWS - Standard Author + Reader</v>
      </c>
      <c r="G41" s="5"/>
      <c r="H41" s="7" t="n">
        <f aca="false">MIN(H15,H16,H17,H18,H20,H21,H22,H23,H24,H26,H27,H28,H29,H31,H32,H33,H34,H35)</f>
        <v>718800</v>
      </c>
      <c r="I41" s="5" t="str">
        <f aca="false">INDEX($A$15:$A$35,MATCH(MIN(K15,K16,K17,K18,K20,K21,K22,K23,K24,K26,K27,K28,K29,K31,K32,K33,K34,K35),K15:K35,0))&amp;" - "&amp;INDEX($B$15:$B$35,MATCH(MIN(K15,K16,K17,K18,K20,K21,K22,K23,K24,K26,K27,K28,K29,K31,K32,K33,K34,K35),K15:K35,0))</f>
        <v>QuickSight + Snowflake AWS - Standard Author + Reader</v>
      </c>
      <c r="J41" s="5"/>
      <c r="K41" s="7" t="n">
        <f aca="false">MIN(K15,K16,K17,K18,K20,K21,K22,K23,K24,K26,K27,K28,K29,K31,K32,K33,K34,K35)</f>
        <v>1137400</v>
      </c>
    </row>
    <row r="43" customFormat="false" ht="15" hidden="false" customHeight="false" outlineLevel="0" collapsed="false">
      <c r="A43" s="15" t="s">
        <v>345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customFormat="false" ht="30" hidden="false" customHeight="true" outlineLevel="0" collapsed="false">
      <c r="A44" s="2" t="s">
        <v>346</v>
      </c>
      <c r="B44" s="3" t="s">
        <v>347</v>
      </c>
      <c r="C44" s="3" t="s">
        <v>332</v>
      </c>
      <c r="D44" s="3"/>
      <c r="E44" s="3"/>
      <c r="F44" s="3" t="s">
        <v>333</v>
      </c>
      <c r="G44" s="3"/>
      <c r="H44" s="3"/>
      <c r="I44" s="3" t="s">
        <v>334</v>
      </c>
      <c r="J44" s="3"/>
      <c r="K44" s="3"/>
    </row>
    <row r="45" customFormat="false" ht="15" hidden="false" customHeight="false" outlineLevel="0" collapsed="false">
      <c r="A45" s="5" t="s">
        <v>179</v>
      </c>
      <c r="B45" s="5" t="s">
        <v>348</v>
      </c>
      <c r="C45" s="37" t="n">
        <f aca="false">C21-C20</f>
        <v>32160</v>
      </c>
      <c r="D45" s="37"/>
      <c r="E45" s="37"/>
      <c r="F45" s="37" t="n">
        <f aca="false">F21-F20</f>
        <v>73920</v>
      </c>
      <c r="G45" s="37"/>
      <c r="H45" s="37"/>
      <c r="I45" s="37" t="n">
        <f aca="false">I21-I20</f>
        <v>140400</v>
      </c>
      <c r="J45" s="37"/>
      <c r="K45" s="37"/>
    </row>
    <row r="46" customFormat="false" ht="15" hidden="false" customHeight="false" outlineLevel="0" collapsed="false">
      <c r="A46" s="5" t="s">
        <v>64</v>
      </c>
      <c r="B46" s="5" t="s">
        <v>349</v>
      </c>
      <c r="C46" s="37" t="n">
        <f aca="false">C24-C23</f>
        <v>6840</v>
      </c>
      <c r="D46" s="37"/>
      <c r="E46" s="37"/>
      <c r="F46" s="37" t="n">
        <f aca="false">F24-F23</f>
        <v>9720</v>
      </c>
      <c r="G46" s="37"/>
      <c r="H46" s="37"/>
      <c r="I46" s="37" t="n">
        <f aca="false">I24-I23</f>
        <v>12600</v>
      </c>
      <c r="J46" s="37"/>
      <c r="K46" s="37"/>
    </row>
    <row r="47" customFormat="false" ht="15" hidden="false" customHeight="true" outlineLevel="0" collapsed="false">
      <c r="A47" s="5" t="s">
        <v>67</v>
      </c>
      <c r="B47" s="5" t="s">
        <v>350</v>
      </c>
      <c r="C47" s="17" t="s">
        <v>351</v>
      </c>
      <c r="D47" s="17"/>
      <c r="E47" s="17"/>
      <c r="F47" s="17" t="s">
        <v>351</v>
      </c>
      <c r="G47" s="17"/>
      <c r="H47" s="17"/>
      <c r="I47" s="17" t="s">
        <v>351</v>
      </c>
      <c r="J47" s="17"/>
      <c r="K47" s="17"/>
    </row>
  </sheetData>
  <mergeCells count="27">
    <mergeCell ref="A1:N1"/>
    <mergeCell ref="A2:N2"/>
    <mergeCell ref="C12:E12"/>
    <mergeCell ref="F12:H12"/>
    <mergeCell ref="I12:K12"/>
    <mergeCell ref="A14:K14"/>
    <mergeCell ref="A25:K25"/>
    <mergeCell ref="A37:K37"/>
    <mergeCell ref="C39:D39"/>
    <mergeCell ref="F39:G39"/>
    <mergeCell ref="I39:J39"/>
    <mergeCell ref="C40:D40"/>
    <mergeCell ref="F40:G40"/>
    <mergeCell ref="I40:J40"/>
    <mergeCell ref="C41:D41"/>
    <mergeCell ref="F41:G41"/>
    <mergeCell ref="I41:J41"/>
    <mergeCell ref="A43:K43"/>
    <mergeCell ref="C45:E45"/>
    <mergeCell ref="F45:H45"/>
    <mergeCell ref="I45:K45"/>
    <mergeCell ref="C46:E46"/>
    <mergeCell ref="F46:H46"/>
    <mergeCell ref="I46:K46"/>
    <mergeCell ref="C47:E47"/>
    <mergeCell ref="F47:H47"/>
    <mergeCell ref="I47:K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7" min="3" style="0" width="15"/>
    <col collapsed="false" customWidth="true" hidden="false" outlineLevel="0" max="8" min="8" style="0" width="48"/>
  </cols>
  <sheetData>
    <row r="1" customFormat="false" ht="25.5" hidden="false" customHeight="true" outlineLevel="0" collapsed="false">
      <c r="A1" s="1" t="s">
        <v>352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8" t="s">
        <v>353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5" t="s">
        <v>354</v>
      </c>
      <c r="B3" s="15"/>
      <c r="C3" s="15"/>
      <c r="D3" s="15"/>
      <c r="E3" s="15"/>
      <c r="F3" s="15"/>
      <c r="G3" s="15"/>
      <c r="H3" s="15"/>
    </row>
    <row r="4" customFormat="false" ht="30" hidden="false" customHeight="true" outlineLevel="0" collapsed="false">
      <c r="A4" s="2" t="s">
        <v>346</v>
      </c>
      <c r="B4" s="3" t="s">
        <v>355</v>
      </c>
      <c r="C4" s="3" t="s">
        <v>356</v>
      </c>
      <c r="D4" s="3" t="s">
        <v>357</v>
      </c>
      <c r="E4" s="3" t="s">
        <v>358</v>
      </c>
      <c r="F4" s="3" t="s">
        <v>359</v>
      </c>
      <c r="G4" s="3" t="s">
        <v>360</v>
      </c>
      <c r="H4" s="3" t="s">
        <v>274</v>
      </c>
    </row>
    <row r="5" customFormat="false" ht="23.85" hidden="false" customHeight="false" outlineLevel="0" collapsed="false">
      <c r="A5" s="16" t="s">
        <v>67</v>
      </c>
      <c r="B5" s="5" t="s">
        <v>326</v>
      </c>
      <c r="C5" s="8" t="n">
        <f aca="false">'Architecture Costs'!C4-'Architecture Costs'!C5</f>
        <v>5400</v>
      </c>
      <c r="D5" s="8" t="n">
        <f aca="false">'Architecture Costs'!D4-'Architecture Costs'!D5</f>
        <v>12000</v>
      </c>
      <c r="E5" s="8" t="n">
        <f aca="false">'Architecture Costs'!E4-'Architecture Costs'!E5</f>
        <v>6000</v>
      </c>
      <c r="F5" s="8" t="n">
        <f aca="false">'Architecture Costs'!F4-'Architecture Costs'!F5</f>
        <v>10000</v>
      </c>
      <c r="G5" s="7" t="n">
        <f aca="false">'Architecture Costs'!H4-'Architecture Costs'!H5</f>
        <v>33400</v>
      </c>
      <c r="H5" s="5" t="s">
        <v>361</v>
      </c>
    </row>
    <row r="6" customFormat="false" ht="23.85" hidden="false" customHeight="false" outlineLevel="0" collapsed="false">
      <c r="A6" s="16" t="s">
        <v>179</v>
      </c>
      <c r="B6" s="5" t="s">
        <v>327</v>
      </c>
      <c r="C6" s="8" t="n">
        <f aca="false">'Architecture Costs'!C7-'Architecture Costs'!C6</f>
        <v>4050</v>
      </c>
      <c r="D6" s="8" t="n">
        <f aca="false">'Architecture Costs'!D7-'Architecture Costs'!D6</f>
        <v>9000</v>
      </c>
      <c r="E6" s="8" t="n">
        <f aca="false">'Architecture Costs'!E7-'Architecture Costs'!E6</f>
        <v>0</v>
      </c>
      <c r="F6" s="8" t="n">
        <f aca="false">'Architecture Costs'!F7-'Architecture Costs'!F6</f>
        <v>8000</v>
      </c>
      <c r="G6" s="7" t="n">
        <f aca="false">'Architecture Costs'!H7-'Architecture Costs'!H6</f>
        <v>21050</v>
      </c>
      <c r="H6" s="5" t="s">
        <v>362</v>
      </c>
    </row>
    <row r="7" customFormat="false" ht="23.85" hidden="false" customHeight="false" outlineLevel="0" collapsed="false">
      <c r="A7" s="16" t="s">
        <v>171</v>
      </c>
      <c r="B7" s="5" t="s">
        <v>363</v>
      </c>
      <c r="C7" s="8" t="n">
        <f aca="false">'Architecture Costs'!C8-'Architecture Costs'!C9</f>
        <v>0</v>
      </c>
      <c r="D7" s="8" t="n">
        <f aca="false">'Architecture Costs'!D8-'Architecture Costs'!D9</f>
        <v>0</v>
      </c>
      <c r="E7" s="8" t="n">
        <f aca="false">'Architecture Costs'!E8-'Architecture Costs'!E9</f>
        <v>0</v>
      </c>
      <c r="F7" s="8" t="n">
        <f aca="false">'Architecture Costs'!F8-'Architecture Costs'!F9</f>
        <v>0</v>
      </c>
      <c r="G7" s="7" t="n">
        <f aca="false">'Architecture Costs'!H8-'Architecture Costs'!H9</f>
        <v>0</v>
      </c>
      <c r="H7" s="5" t="s">
        <v>364</v>
      </c>
    </row>
    <row r="8" customFormat="false" ht="23.85" hidden="false" customHeight="false" outlineLevel="0" collapsed="false">
      <c r="A8" s="16" t="s">
        <v>64</v>
      </c>
      <c r="B8" s="5" t="s">
        <v>327</v>
      </c>
      <c r="C8" s="8" t="n">
        <f aca="false">'Architecture Costs'!C11-'Architecture Costs'!C10</f>
        <v>6210</v>
      </c>
      <c r="D8" s="8" t="n">
        <f aca="false">'Architecture Costs'!D11-'Architecture Costs'!D10</f>
        <v>13800</v>
      </c>
      <c r="E8" s="8" t="n">
        <f aca="false">'Architecture Costs'!E11-'Architecture Costs'!E10</f>
        <v>0</v>
      </c>
      <c r="F8" s="8" t="n">
        <f aca="false">'Architecture Costs'!F11-'Architecture Costs'!F10</f>
        <v>12000</v>
      </c>
      <c r="G8" s="7" t="n">
        <f aca="false">'Architecture Costs'!H11-'Architecture Costs'!H10</f>
        <v>32010</v>
      </c>
      <c r="H8" s="5" t="s">
        <v>365</v>
      </c>
    </row>
    <row r="10" customFormat="false" ht="15" hidden="false" customHeight="false" outlineLevel="0" collapsed="false">
      <c r="A10" s="15" t="s">
        <v>366</v>
      </c>
      <c r="B10" s="15"/>
      <c r="C10" s="15"/>
      <c r="D10" s="15"/>
      <c r="E10" s="15"/>
      <c r="F10" s="15"/>
      <c r="G10" s="15"/>
      <c r="H10" s="15"/>
    </row>
    <row r="11" customFormat="false" ht="30" hidden="false" customHeight="true" outlineLevel="0" collapsed="false">
      <c r="A11" s="2" t="s">
        <v>367</v>
      </c>
      <c r="B11" s="3"/>
      <c r="C11" s="3" t="s">
        <v>2</v>
      </c>
      <c r="D11" s="3"/>
      <c r="E11" s="3"/>
      <c r="F11" s="3"/>
      <c r="G11" s="3"/>
      <c r="H11" s="3" t="s">
        <v>368</v>
      </c>
    </row>
    <row r="12" customFormat="false" ht="15" hidden="false" customHeight="true" outlineLevel="0" collapsed="false">
      <c r="A12" s="17" t="s">
        <v>360</v>
      </c>
      <c r="B12" s="17"/>
      <c r="C12" s="7" t="n">
        <f aca="false">G5</f>
        <v>33400</v>
      </c>
      <c r="H12" s="5" t="s">
        <v>369</v>
      </c>
    </row>
    <row r="13" customFormat="false" ht="15" hidden="false" customHeight="true" outlineLevel="0" collapsed="false">
      <c r="A13" s="17" t="s">
        <v>370</v>
      </c>
      <c r="B13" s="17"/>
      <c r="C13" s="7" t="n">
        <f aca="false">G5*Inputs!$B$12</f>
        <v>167000</v>
      </c>
      <c r="H13" s="5" t="s">
        <v>371</v>
      </c>
    </row>
    <row r="14" customFormat="false" ht="15" hidden="false" customHeight="true" outlineLevel="0" collapsed="false">
      <c r="A14" s="17" t="s">
        <v>372</v>
      </c>
      <c r="B14" s="17"/>
      <c r="C14" s="38" t="n">
        <f aca="false">G5*Inputs!$B$12/'TCO Comparison'!I7</f>
        <v>0.126691732916834</v>
      </c>
      <c r="H14" s="5"/>
    </row>
    <row r="15" customFormat="false" ht="15" hidden="false" customHeight="true" outlineLevel="0" collapsed="false">
      <c r="A15" s="17" t="s">
        <v>373</v>
      </c>
      <c r="B15" s="17"/>
      <c r="C15" s="38" t="n">
        <f aca="false">G5*Inputs!$B$12/'TCO Comparison'!I5</f>
        <v>0.116133518776078</v>
      </c>
      <c r="H15" s="5"/>
    </row>
    <row r="16" customFormat="false" ht="15" hidden="false" customHeight="true" outlineLevel="0" collapsed="false">
      <c r="A16" s="17" t="s">
        <v>374</v>
      </c>
      <c r="B16" s="17"/>
      <c r="C16" s="7" t="n">
        <f aca="false">G6</f>
        <v>21050</v>
      </c>
      <c r="H16" s="5" t="s">
        <v>375</v>
      </c>
    </row>
    <row r="17" customFormat="false" ht="15" hidden="false" customHeight="true" outlineLevel="0" collapsed="false">
      <c r="A17" s="17" t="s">
        <v>376</v>
      </c>
      <c r="B17" s="17"/>
      <c r="C17" s="7" t="n">
        <f aca="false">G8</f>
        <v>32010</v>
      </c>
      <c r="H17" s="5"/>
    </row>
    <row r="19" customFormat="false" ht="15" hidden="false" customHeight="false" outlineLevel="0" collapsed="false">
      <c r="A19" s="15" t="s">
        <v>377</v>
      </c>
      <c r="B19" s="15"/>
      <c r="C19" s="15"/>
      <c r="D19" s="15"/>
      <c r="E19" s="15"/>
      <c r="F19" s="15"/>
      <c r="G19" s="15"/>
      <c r="H19" s="15"/>
    </row>
    <row r="20" customFormat="false" ht="30" hidden="false" customHeight="true" outlineLevel="0" collapsed="false">
      <c r="A20" s="2" t="s">
        <v>378</v>
      </c>
      <c r="B20" s="3" t="s">
        <v>379</v>
      </c>
      <c r="C20" s="3" t="s">
        <v>380</v>
      </c>
      <c r="D20" s="3"/>
      <c r="E20" s="3"/>
      <c r="F20" s="3"/>
      <c r="G20" s="3" t="s">
        <v>381</v>
      </c>
      <c r="H20" s="3" t="s">
        <v>382</v>
      </c>
    </row>
    <row r="21" customFormat="false" ht="31.5" hidden="false" customHeight="true" outlineLevel="0" collapsed="false">
      <c r="A21" s="16" t="s">
        <v>383</v>
      </c>
      <c r="B21" s="5" t="s">
        <v>384</v>
      </c>
      <c r="C21" s="8" t="n">
        <v>0</v>
      </c>
      <c r="D21" s="8"/>
      <c r="E21" s="8"/>
      <c r="F21" s="8"/>
      <c r="G21" s="7" t="n">
        <f aca="false">G5</f>
        <v>33400</v>
      </c>
      <c r="H21" s="5" t="s">
        <v>385</v>
      </c>
    </row>
    <row r="22" customFormat="false" ht="31.5" hidden="false" customHeight="true" outlineLevel="0" collapsed="false">
      <c r="A22" s="5" t="s">
        <v>386</v>
      </c>
      <c r="B22" s="5" t="str">
        <f aca="false">TEXT(Inputs!$B$57,"0%")&amp;" traffic cut"</f>
        <v>80% traffic cut</v>
      </c>
      <c r="C22" s="8" t="n">
        <f aca="false">'Architecture Costs'!C4*Inputs!$B$57</f>
        <v>4320</v>
      </c>
      <c r="D22" s="8"/>
      <c r="E22" s="8"/>
      <c r="F22" s="8"/>
      <c r="G22" s="7" t="n">
        <f aca="false">G21-C22</f>
        <v>29080</v>
      </c>
      <c r="H22" s="5" t="s">
        <v>387</v>
      </c>
    </row>
    <row r="23" customFormat="false" ht="31.5" hidden="false" customHeight="true" outlineLevel="0" collapsed="false">
      <c r="A23" s="5" t="s">
        <v>388</v>
      </c>
      <c r="B23" s="5" t="str">
        <f aca="false">TEXT(Inputs!$B$56,"$0.00")&amp;" per GB"</f>
        <v>$0.02 per GB</v>
      </c>
      <c r="C23" s="8" t="n">
        <f aca="false">'Architecture Costs'!C4*(1-Inputs!$B$57)*(1-Inputs!$B$56/Inputs!$B$55)</f>
        <v>840</v>
      </c>
      <c r="D23" s="8"/>
      <c r="E23" s="8"/>
      <c r="F23" s="8"/>
      <c r="G23" s="7" t="n">
        <f aca="false">G22-C23</f>
        <v>28240</v>
      </c>
      <c r="H23" s="5" t="s">
        <v>389</v>
      </c>
    </row>
    <row r="24" customFormat="false" ht="31.5" hidden="false" customHeight="true" outlineLevel="0" collapsed="false">
      <c r="A24" s="5" t="s">
        <v>390</v>
      </c>
      <c r="B24" s="5" t="str">
        <f aca="false">TEXT(Inputs!$B$58,"0%")&amp;" compute cut"</f>
        <v>50% compute cut</v>
      </c>
      <c r="C24" s="8" t="n">
        <f aca="false">'Architecture Costs'!D4*Inputs!$B$58</f>
        <v>6000</v>
      </c>
      <c r="D24" s="8"/>
      <c r="E24" s="8"/>
      <c r="F24" s="8"/>
      <c r="G24" s="7" t="n">
        <f aca="false">G23-C24</f>
        <v>22240</v>
      </c>
      <c r="H24" s="5" t="s">
        <v>391</v>
      </c>
    </row>
    <row r="25" customFormat="false" ht="23.85" hidden="false" customHeight="true" outlineLevel="0" collapsed="false">
      <c r="A25" s="39" t="s">
        <v>392</v>
      </c>
      <c r="B25" s="39"/>
      <c r="C25" s="40" t="n">
        <f aca="false">SUM(C21:C24)</f>
        <v>11160</v>
      </c>
      <c r="D25" s="40"/>
      <c r="E25" s="40"/>
      <c r="F25" s="40"/>
      <c r="G25" s="41" t="n">
        <f aca="false">G24</f>
        <v>22240</v>
      </c>
      <c r="H25" s="28" t="s">
        <v>393</v>
      </c>
    </row>
    <row r="26" customFormat="false" ht="15" hidden="false" customHeight="true" outlineLevel="0" collapsed="false">
      <c r="A26" s="42" t="s">
        <v>394</v>
      </c>
      <c r="B26" s="42"/>
      <c r="C26" s="37" t="n">
        <f aca="false">G25*Inputs!$B$12</f>
        <v>111200</v>
      </c>
      <c r="D26" s="37"/>
      <c r="E26" s="37"/>
      <c r="F26" s="37"/>
      <c r="G26" s="5"/>
      <c r="H26" s="5" t="s">
        <v>395</v>
      </c>
    </row>
    <row r="28" customFormat="false" ht="15" hidden="false" customHeight="false" outlineLevel="0" collapsed="false">
      <c r="A28" s="15" t="s">
        <v>396</v>
      </c>
      <c r="B28" s="15"/>
      <c r="C28" s="15"/>
      <c r="D28" s="15"/>
      <c r="E28" s="15"/>
      <c r="F28" s="15"/>
      <c r="G28" s="15"/>
      <c r="H28" s="15"/>
    </row>
    <row r="29" customFormat="false" ht="30" hidden="false" customHeight="true" outlineLevel="0" collapsed="false">
      <c r="A29" s="2" t="s">
        <v>397</v>
      </c>
      <c r="B29" s="3"/>
      <c r="C29" s="3" t="s">
        <v>398</v>
      </c>
      <c r="D29" s="3"/>
      <c r="E29" s="3"/>
      <c r="F29" s="3"/>
      <c r="G29" s="3"/>
      <c r="H29" s="3" t="s">
        <v>399</v>
      </c>
    </row>
    <row r="30" customFormat="false" ht="31.5" hidden="false" customHeight="true" outlineLevel="0" collapsed="false">
      <c r="A30" s="17" t="s">
        <v>400</v>
      </c>
      <c r="B30" s="17"/>
      <c r="C30" s="17" t="s">
        <v>401</v>
      </c>
      <c r="D30" s="17"/>
      <c r="E30" s="17"/>
      <c r="F30" s="17"/>
      <c r="G30" s="17"/>
      <c r="H30" s="5" t="s">
        <v>402</v>
      </c>
    </row>
    <row r="31" customFormat="false" ht="31.5" hidden="false" customHeight="true" outlineLevel="0" collapsed="false">
      <c r="A31" s="17" t="s">
        <v>403</v>
      </c>
      <c r="B31" s="17"/>
      <c r="C31" s="17" t="s">
        <v>404</v>
      </c>
      <c r="D31" s="17"/>
      <c r="E31" s="17"/>
      <c r="F31" s="17"/>
      <c r="G31" s="17"/>
      <c r="H31" s="5" t="s">
        <v>405</v>
      </c>
    </row>
    <row r="32" customFormat="false" ht="31.5" hidden="false" customHeight="true" outlineLevel="0" collapsed="false">
      <c r="A32" s="17" t="s">
        <v>406</v>
      </c>
      <c r="B32" s="17"/>
      <c r="C32" s="17" t="s">
        <v>407</v>
      </c>
      <c r="D32" s="17"/>
      <c r="E32" s="17"/>
      <c r="F32" s="17"/>
      <c r="G32" s="17"/>
      <c r="H32" s="5" t="s">
        <v>408</v>
      </c>
    </row>
    <row r="33" customFormat="false" ht="31.5" hidden="false" customHeight="true" outlineLevel="0" collapsed="false">
      <c r="A33" s="17" t="s">
        <v>409</v>
      </c>
      <c r="B33" s="17"/>
      <c r="C33" s="17" t="s">
        <v>410</v>
      </c>
      <c r="D33" s="17"/>
      <c r="E33" s="17"/>
      <c r="F33" s="17"/>
      <c r="G33" s="17"/>
      <c r="H33" s="5" t="s">
        <v>411</v>
      </c>
    </row>
    <row r="35" customFormat="false" ht="30" hidden="false" customHeight="true" outlineLevel="0" collapsed="false">
      <c r="A35" s="43" t="s">
        <v>412</v>
      </c>
      <c r="B35" s="43"/>
      <c r="C35" s="43"/>
      <c r="D35" s="43"/>
      <c r="E35" s="43"/>
      <c r="F35" s="43"/>
      <c r="G35" s="43"/>
      <c r="H35" s="43"/>
    </row>
  </sheetData>
  <mergeCells count="29">
    <mergeCell ref="A1:H1"/>
    <mergeCell ref="A2:H2"/>
    <mergeCell ref="A3:H3"/>
    <mergeCell ref="A10:H10"/>
    <mergeCell ref="A12:B12"/>
    <mergeCell ref="A13:B13"/>
    <mergeCell ref="A14:B14"/>
    <mergeCell ref="A15:B15"/>
    <mergeCell ref="A16:B16"/>
    <mergeCell ref="A17:B17"/>
    <mergeCell ref="A19:H19"/>
    <mergeCell ref="C21:F21"/>
    <mergeCell ref="C22:F22"/>
    <mergeCell ref="C23:F23"/>
    <mergeCell ref="C24:F24"/>
    <mergeCell ref="A25:B25"/>
    <mergeCell ref="C25:F25"/>
    <mergeCell ref="A26:B26"/>
    <mergeCell ref="C26:F26"/>
    <mergeCell ref="A28:H28"/>
    <mergeCell ref="A30:B30"/>
    <mergeCell ref="C30:G30"/>
    <mergeCell ref="A31:B31"/>
    <mergeCell ref="C31:G31"/>
    <mergeCell ref="A32:B32"/>
    <mergeCell ref="C32:G32"/>
    <mergeCell ref="A33:B33"/>
    <mergeCell ref="C33:G33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56"/>
  </cols>
  <sheetData>
    <row r="1" customFormat="false" ht="25.5" hidden="false" customHeight="true" outlineLevel="0" collapsed="false">
      <c r="A1" s="1" t="s">
        <v>413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2" t="s">
        <v>414</v>
      </c>
      <c r="B3" s="3" t="s">
        <v>415</v>
      </c>
      <c r="C3" s="3" t="s">
        <v>416</v>
      </c>
      <c r="D3" s="3" t="s">
        <v>417</v>
      </c>
      <c r="E3" s="3" t="s">
        <v>418</v>
      </c>
    </row>
    <row r="4" customFormat="false" ht="23.85" hidden="false" customHeight="false" outlineLevel="0" collapsed="false">
      <c r="A4" s="5" t="s">
        <v>419</v>
      </c>
      <c r="B4" s="5" t="s">
        <v>420</v>
      </c>
      <c r="C4" s="5" t="s">
        <v>117</v>
      </c>
      <c r="D4" s="5" t="s">
        <v>125</v>
      </c>
      <c r="E4" s="5" t="s">
        <v>421</v>
      </c>
    </row>
    <row r="5" customFormat="false" ht="23.85" hidden="false" customHeight="false" outlineLevel="0" collapsed="false">
      <c r="A5" s="44" t="s">
        <v>422</v>
      </c>
      <c r="B5" s="44" t="s">
        <v>423</v>
      </c>
      <c r="C5" s="44" t="s">
        <v>154</v>
      </c>
      <c r="D5" s="44" t="s">
        <v>424</v>
      </c>
      <c r="E5" s="44" t="s">
        <v>425</v>
      </c>
    </row>
    <row r="6" customFormat="false" ht="23.85" hidden="false" customHeight="false" outlineLevel="0" collapsed="false">
      <c r="A6" s="5" t="s">
        <v>426</v>
      </c>
      <c r="B6" s="5" t="s">
        <v>427</v>
      </c>
      <c r="C6" s="5" t="s">
        <v>428</v>
      </c>
      <c r="D6" s="5" t="s">
        <v>125</v>
      </c>
      <c r="E6" s="5" t="s">
        <v>429</v>
      </c>
    </row>
    <row r="7" customFormat="false" ht="23.85" hidden="false" customHeight="false" outlineLevel="0" collapsed="false">
      <c r="A7" s="44" t="s">
        <v>430</v>
      </c>
      <c r="B7" s="44" t="s">
        <v>431</v>
      </c>
      <c r="C7" s="44" t="s">
        <v>161</v>
      </c>
      <c r="D7" s="44" t="s">
        <v>125</v>
      </c>
      <c r="E7" s="44" t="s">
        <v>432</v>
      </c>
    </row>
    <row r="8" customFormat="false" ht="23.85" hidden="false" customHeight="false" outlineLevel="0" collapsed="false">
      <c r="A8" s="5" t="s">
        <v>433</v>
      </c>
      <c r="B8" s="5" t="s">
        <v>434</v>
      </c>
      <c r="C8" s="5" t="s">
        <v>435</v>
      </c>
      <c r="D8" s="5" t="s">
        <v>125</v>
      </c>
      <c r="E8" s="5" t="s">
        <v>436</v>
      </c>
    </row>
    <row r="9" customFormat="false" ht="23.85" hidden="false" customHeight="false" outlineLevel="0" collapsed="false">
      <c r="A9" s="44" t="s">
        <v>437</v>
      </c>
      <c r="B9" s="44" t="s">
        <v>438</v>
      </c>
      <c r="C9" s="44" t="s">
        <v>439</v>
      </c>
      <c r="D9" s="44" t="s">
        <v>125</v>
      </c>
      <c r="E9" s="44" t="s">
        <v>440</v>
      </c>
    </row>
    <row r="10" customFormat="false" ht="15" hidden="false" customHeight="false" outlineLevel="0" collapsed="false">
      <c r="A10" s="5" t="s">
        <v>441</v>
      </c>
      <c r="B10" s="5" t="s">
        <v>442</v>
      </c>
      <c r="C10" s="5" t="s">
        <v>443</v>
      </c>
      <c r="D10" s="5" t="s">
        <v>444</v>
      </c>
      <c r="E10" s="5" t="s">
        <v>445</v>
      </c>
    </row>
    <row r="11" customFormat="false" ht="23.85" hidden="false" customHeight="false" outlineLevel="0" collapsed="false">
      <c r="A11" s="44" t="s">
        <v>446</v>
      </c>
      <c r="B11" s="44" t="s">
        <v>447</v>
      </c>
      <c r="C11" s="44" t="s">
        <v>448</v>
      </c>
      <c r="D11" s="44" t="s">
        <v>125</v>
      </c>
      <c r="E11" s="44" t="s">
        <v>449</v>
      </c>
    </row>
    <row r="12" customFormat="false" ht="23.85" hidden="false" customHeight="false" outlineLevel="0" collapsed="false">
      <c r="A12" s="5" t="s">
        <v>450</v>
      </c>
      <c r="B12" s="5" t="s">
        <v>451</v>
      </c>
      <c r="C12" s="5" t="s">
        <v>138</v>
      </c>
      <c r="D12" s="5" t="s">
        <v>125</v>
      </c>
      <c r="E12" s="5" t="s">
        <v>452</v>
      </c>
    </row>
    <row r="13" customFormat="false" ht="15" hidden="false" customHeight="false" outlineLevel="0" collapsed="false">
      <c r="A13" s="44" t="s">
        <v>453</v>
      </c>
      <c r="B13" s="44" t="s">
        <v>454</v>
      </c>
      <c r="C13" s="44" t="s">
        <v>165</v>
      </c>
      <c r="D13" s="44" t="s">
        <v>125</v>
      </c>
      <c r="E13" s="44" t="s">
        <v>455</v>
      </c>
    </row>
    <row r="14" customFormat="false" ht="15" hidden="false" customHeight="false" outlineLevel="0" collapsed="false">
      <c r="A14" s="5" t="s">
        <v>456</v>
      </c>
      <c r="B14" s="5" t="s">
        <v>457</v>
      </c>
      <c r="C14" s="5" t="s">
        <v>165</v>
      </c>
      <c r="D14" s="5" t="s">
        <v>125</v>
      </c>
      <c r="E14" s="5" t="s">
        <v>458</v>
      </c>
    </row>
    <row r="15" customFormat="false" ht="23.85" hidden="false" customHeight="false" outlineLevel="0" collapsed="false">
      <c r="A15" s="44" t="s">
        <v>459</v>
      </c>
      <c r="B15" s="44" t="s">
        <v>460</v>
      </c>
      <c r="C15" s="44" t="s">
        <v>461</v>
      </c>
      <c r="D15" s="44" t="s">
        <v>125</v>
      </c>
      <c r="E15" s="44" t="s">
        <v>462</v>
      </c>
    </row>
    <row r="16" customFormat="false" ht="15" hidden="false" customHeight="false" outlineLevel="0" collapsed="false">
      <c r="A16" s="5" t="s">
        <v>463</v>
      </c>
      <c r="B16" s="5" t="s">
        <v>464</v>
      </c>
      <c r="C16" s="5" t="s">
        <v>465</v>
      </c>
      <c r="D16" s="5" t="s">
        <v>466</v>
      </c>
      <c r="E16" s="5" t="s">
        <v>467</v>
      </c>
    </row>
    <row r="17" customFormat="false" ht="15" hidden="false" customHeight="false" outlineLevel="0" collapsed="false">
      <c r="A17" s="44" t="s">
        <v>468</v>
      </c>
      <c r="B17" s="44" t="s">
        <v>469</v>
      </c>
      <c r="C17" s="44" t="s">
        <v>470</v>
      </c>
      <c r="D17" s="44" t="s">
        <v>471</v>
      </c>
      <c r="E17" s="44" t="s">
        <v>472</v>
      </c>
    </row>
    <row r="18" customFormat="false" ht="15" hidden="false" customHeight="false" outlineLevel="0" collapsed="false">
      <c r="A18" s="5" t="s">
        <v>473</v>
      </c>
      <c r="B18" s="5" t="s">
        <v>474</v>
      </c>
      <c r="C18" s="5" t="s">
        <v>475</v>
      </c>
      <c r="D18" s="5" t="s">
        <v>384</v>
      </c>
      <c r="E18" s="5" t="s">
        <v>476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90"/>
  </cols>
  <sheetData>
    <row r="1" customFormat="false" ht="25.5" hidden="false" customHeight="true" outlineLevel="0" collapsed="false">
      <c r="A1" s="1" t="s">
        <v>477</v>
      </c>
      <c r="B1" s="1"/>
      <c r="C1" s="1"/>
    </row>
    <row r="3" customFormat="false" ht="30" hidden="false" customHeight="true" outlineLevel="0" collapsed="false">
      <c r="A3" s="2" t="s">
        <v>478</v>
      </c>
      <c r="B3" s="3" t="s">
        <v>479</v>
      </c>
      <c r="C3" s="3" t="s">
        <v>480</v>
      </c>
    </row>
    <row r="4" customFormat="false" ht="31.5" hidden="false" customHeight="true" outlineLevel="0" collapsed="false">
      <c r="A4" s="5" t="n">
        <v>1</v>
      </c>
      <c r="B4" s="16" t="s">
        <v>481</v>
      </c>
      <c r="C4" s="5" t="s">
        <v>482</v>
      </c>
    </row>
    <row r="5" customFormat="false" ht="31.5" hidden="false" customHeight="true" outlineLevel="0" collapsed="false">
      <c r="A5" s="5" t="n">
        <v>2</v>
      </c>
      <c r="B5" s="16" t="s">
        <v>483</v>
      </c>
      <c r="C5" s="5" t="s">
        <v>484</v>
      </c>
    </row>
    <row r="6" customFormat="false" ht="31.5" hidden="false" customHeight="true" outlineLevel="0" collapsed="false">
      <c r="A6" s="5" t="n">
        <v>3</v>
      </c>
      <c r="B6" s="16" t="s">
        <v>485</v>
      </c>
      <c r="C6" s="5" t="s">
        <v>486</v>
      </c>
    </row>
    <row r="7" customFormat="false" ht="31.5" hidden="false" customHeight="true" outlineLevel="0" collapsed="false">
      <c r="A7" s="5" t="n">
        <v>4</v>
      </c>
      <c r="B7" s="16" t="s">
        <v>487</v>
      </c>
      <c r="C7" s="5" t="s">
        <v>488</v>
      </c>
    </row>
    <row r="8" customFormat="false" ht="31.5" hidden="false" customHeight="true" outlineLevel="0" collapsed="false">
      <c r="A8" s="5" t="n">
        <v>5</v>
      </c>
      <c r="B8" s="16" t="s">
        <v>489</v>
      </c>
      <c r="C8" s="5" t="s">
        <v>490</v>
      </c>
    </row>
    <row r="9" customFormat="false" ht="31.5" hidden="false" customHeight="true" outlineLevel="0" collapsed="false">
      <c r="A9" s="5" t="n">
        <v>6</v>
      </c>
      <c r="B9" s="16" t="s">
        <v>491</v>
      </c>
      <c r="C9" s="5" t="s">
        <v>492</v>
      </c>
    </row>
    <row r="10" customFormat="false" ht="31.5" hidden="false" customHeight="true" outlineLevel="0" collapsed="false">
      <c r="A10" s="5" t="n">
        <v>7</v>
      </c>
      <c r="B10" s="16" t="s">
        <v>493</v>
      </c>
      <c r="C10" s="5" t="s">
        <v>494</v>
      </c>
    </row>
    <row r="11" customFormat="false" ht="31.5" hidden="false" customHeight="true" outlineLevel="0" collapsed="false">
      <c r="A11" s="5" t="n">
        <v>8</v>
      </c>
      <c r="B11" s="16" t="s">
        <v>495</v>
      </c>
      <c r="C11" s="5" t="s">
        <v>496</v>
      </c>
    </row>
    <row r="12" customFormat="false" ht="31.5" hidden="false" customHeight="true" outlineLevel="0" collapsed="false">
      <c r="A12" s="5" t="n">
        <v>9</v>
      </c>
      <c r="B12" s="16" t="s">
        <v>497</v>
      </c>
      <c r="C12" s="5" t="s">
        <v>498</v>
      </c>
    </row>
    <row r="13" customFormat="false" ht="31.5" hidden="false" customHeight="true" outlineLevel="0" collapsed="false">
      <c r="A13" s="5" t="n">
        <v>10</v>
      </c>
      <c r="B13" s="16" t="s">
        <v>499</v>
      </c>
      <c r="C13" s="5" t="s">
        <v>500</v>
      </c>
    </row>
    <row r="14" customFormat="false" ht="31.5" hidden="false" customHeight="true" outlineLevel="0" collapsed="false">
      <c r="A14" s="5" t="n">
        <v>11</v>
      </c>
      <c r="B14" s="16" t="s">
        <v>501</v>
      </c>
      <c r="C14" s="5" t="s">
        <v>502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2026-10-23T09:15:33Z</dcterms:created>
  <dc:creator>openpyxl</dc:creator>
  <dc:description/>
  <dc:language>en-US</dc:language>
  <cp:lastModifiedBy/>
  <dcterms:modified xsi:type="dcterms:W3CDTF">2026-10-23T09:15:36Z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